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FMELO\Desktop\"/>
    </mc:Choice>
  </mc:AlternateContent>
  <xr:revisionPtr revIDLastSave="0" documentId="13_ncr:1_{7BF6858D-64EC-463F-843B-6EFB45F406F5}" xr6:coauthVersionLast="47" xr6:coauthVersionMax="47" xr10:uidLastSave="{00000000-0000-0000-0000-000000000000}"/>
  <bookViews>
    <workbookView xWindow="-110" yWindow="-110" windowWidth="25820" windowHeight="15500" tabRatio="729" firstSheet="2" activeTab="3" xr2:uid="{BDCD7524-1CC9-4D12-94EE-1D81A0CE0740}"/>
  </bookViews>
  <sheets>
    <sheet name="TURNOS" sheetId="16" r:id="rId1"/>
    <sheet name="MODALIDADES" sheetId="17" r:id="rId2"/>
    <sheet name="CALENDÁRIO" sheetId="2" r:id="rId3"/>
    <sheet name="INSTRUTORES" sheetId="3" r:id="rId4"/>
    <sheet name="AMBIENTES" sheetId="4" r:id="rId5"/>
    <sheet name="DISCIPLINAS" sheetId="6" r:id="rId6"/>
    <sheet name="TURMAS" sheetId="5" r:id="rId7"/>
    <sheet name="ALOCAÇÃO_DIÁRIA" sheetId="7" r:id="rId8"/>
    <sheet name="OCUPAÇÃO" sheetId="9" r:id="rId9"/>
    <sheet name="NÃO_REGÊNCIA" sheetId="8" r:id="rId10"/>
    <sheet name="FALTAS" sheetId="10" r:id="rId11"/>
    <sheet name="RESUMO" sheetId="11" r:id="rId12"/>
    <sheet name="PARÂMETROS" sheetId="12" r:id="rId13"/>
    <sheet name="MANUAL" sheetId="13" r:id="rId14"/>
    <sheet name="APOIO_DISCIPLINA" sheetId="18" r:id="rId15"/>
  </sheets>
  <definedNames>
    <definedName name="APR01302026U006">APOIO_DISCIPLINA!$B$2:$B$19</definedName>
    <definedName name="QUA04382026U003">APOIO_DISCIPLINA!$A$2:$A$19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2" i="8"/>
  <c r="A3" i="8"/>
  <c r="H21" i="9"/>
  <c r="I21" i="9" s="1"/>
  <c r="D21" i="9"/>
  <c r="B21" i="9"/>
  <c r="H20" i="9"/>
  <c r="I20" i="9" s="1"/>
  <c r="D20" i="9"/>
  <c r="B20" i="9"/>
  <c r="H19" i="9"/>
  <c r="I19" i="9" s="1"/>
  <c r="D19" i="9"/>
  <c r="B19" i="9"/>
  <c r="D12" i="9"/>
  <c r="B12" i="9"/>
  <c r="D11" i="9"/>
  <c r="B11" i="9"/>
  <c r="H16" i="9"/>
  <c r="I16" i="9" s="1"/>
  <c r="D16" i="9"/>
  <c r="B16" i="9"/>
  <c r="H8" i="9"/>
  <c r="I8" i="9" s="1"/>
  <c r="D8" i="9"/>
  <c r="B8" i="9"/>
  <c r="H15" i="9"/>
  <c r="I15" i="9" s="1"/>
  <c r="D15" i="9"/>
  <c r="B15" i="9"/>
  <c r="H7" i="9"/>
  <c r="I7" i="9" s="1"/>
  <c r="D7" i="9"/>
  <c r="B7" i="9"/>
  <c r="Q6" i="7"/>
  <c r="M6" i="7"/>
  <c r="L6" i="7"/>
  <c r="K6" i="7" s="1"/>
  <c r="I6" i="7"/>
  <c r="H6" i="7"/>
  <c r="G6" i="7" s="1"/>
  <c r="E6" i="7"/>
  <c r="C6" i="7"/>
  <c r="C17" i="7"/>
  <c r="E17" i="7"/>
  <c r="H17" i="7"/>
  <c r="G17" i="7" s="1"/>
  <c r="I17" i="7"/>
  <c r="L17" i="7"/>
  <c r="K17" i="7" s="1"/>
  <c r="M17" i="7"/>
  <c r="Q17" i="7"/>
  <c r="C5" i="7"/>
  <c r="E5" i="7"/>
  <c r="H5" i="7"/>
  <c r="G5" i="7" s="1"/>
  <c r="I5" i="7"/>
  <c r="L5" i="7"/>
  <c r="K5" i="7" s="1"/>
  <c r="M5" i="7"/>
  <c r="Q5" i="7"/>
  <c r="M4" i="7"/>
  <c r="L4" i="7"/>
  <c r="K4" i="7" s="1"/>
  <c r="I4" i="7"/>
  <c r="H4" i="7"/>
  <c r="G4" i="7"/>
  <c r="E4" i="7"/>
  <c r="C4" i="7"/>
  <c r="M16" i="7"/>
  <c r="L16" i="7"/>
  <c r="K16" i="7" s="1"/>
  <c r="I16" i="7"/>
  <c r="H16" i="7"/>
  <c r="G16" i="7" s="1"/>
  <c r="E16" i="7"/>
  <c r="C16" i="7"/>
  <c r="Q11" i="7"/>
  <c r="Q12" i="7"/>
  <c r="Q13" i="7"/>
  <c r="Q14" i="7"/>
  <c r="Q2" i="7"/>
  <c r="Q15" i="7"/>
  <c r="Q3" i="7"/>
  <c r="Q16" i="7"/>
  <c r="Q4" i="7"/>
  <c r="Q18" i="7"/>
  <c r="Q7" i="7"/>
  <c r="Q19" i="7"/>
  <c r="Q20" i="7"/>
  <c r="Q21" i="7"/>
  <c r="Q8" i="7"/>
  <c r="Q9" i="7"/>
  <c r="Q10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C3" i="10"/>
  <c r="C4" i="10"/>
  <c r="C5" i="10"/>
  <c r="C6" i="10"/>
  <c r="C7" i="10"/>
  <c r="C8" i="10"/>
  <c r="C9" i="10"/>
  <c r="C10" i="10"/>
  <c r="C11" i="10"/>
  <c r="D2" i="9"/>
  <c r="D3" i="9"/>
  <c r="D4" i="9"/>
  <c r="D5" i="9"/>
  <c r="D13" i="9"/>
  <c r="D6" i="9"/>
  <c r="D14" i="9"/>
  <c r="D17" i="9"/>
  <c r="D9" i="9"/>
  <c r="D18" i="9"/>
  <c r="D10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B2" i="9"/>
  <c r="B3" i="9"/>
  <c r="B4" i="9"/>
  <c r="B5" i="9"/>
  <c r="B13" i="9"/>
  <c r="B6" i="9"/>
  <c r="B14" i="9"/>
  <c r="B17" i="9"/>
  <c r="B9" i="9"/>
  <c r="B18" i="9"/>
  <c r="B10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F3" i="5"/>
  <c r="F4" i="5"/>
  <c r="F2" i="5"/>
  <c r="L12" i="7"/>
  <c r="L13" i="7"/>
  <c r="L14" i="7"/>
  <c r="L2" i="7"/>
  <c r="K2" i="7" s="1"/>
  <c r="L15" i="7"/>
  <c r="K15" i="7" s="1"/>
  <c r="L3" i="7"/>
  <c r="K3" i="7" s="1"/>
  <c r="L18" i="7"/>
  <c r="K18" i="7" s="1"/>
  <c r="L7" i="7"/>
  <c r="K7" i="7" s="1"/>
  <c r="L19" i="7"/>
  <c r="K19" i="7" s="1"/>
  <c r="L20" i="7"/>
  <c r="K20" i="7" s="1"/>
  <c r="L21" i="7"/>
  <c r="K21" i="7" s="1"/>
  <c r="L8" i="7"/>
  <c r="K8" i="7" s="1"/>
  <c r="L9" i="7"/>
  <c r="K9" i="7" s="1"/>
  <c r="L10" i="7"/>
  <c r="K10" i="7" s="1"/>
  <c r="L22" i="7"/>
  <c r="K22" i="7" s="1"/>
  <c r="L23" i="7"/>
  <c r="K23" i="7" s="1"/>
  <c r="L24" i="7"/>
  <c r="K24" i="7" s="1"/>
  <c r="L25" i="7"/>
  <c r="K25" i="7" s="1"/>
  <c r="L26" i="7"/>
  <c r="K26" i="7" s="1"/>
  <c r="L27" i="7"/>
  <c r="K27" i="7" s="1"/>
  <c r="L28" i="7"/>
  <c r="K28" i="7" s="1"/>
  <c r="L29" i="7"/>
  <c r="K29" i="7" s="1"/>
  <c r="L30" i="7"/>
  <c r="K30" i="7" s="1"/>
  <c r="L31" i="7"/>
  <c r="K31" i="7" s="1"/>
  <c r="L32" i="7"/>
  <c r="K32" i="7" s="1"/>
  <c r="L33" i="7"/>
  <c r="K33" i="7" s="1"/>
  <c r="L34" i="7"/>
  <c r="K34" i="7" s="1"/>
  <c r="L35" i="7"/>
  <c r="K35" i="7" s="1"/>
  <c r="L36" i="7"/>
  <c r="K36" i="7" s="1"/>
  <c r="L37" i="7"/>
  <c r="K37" i="7" s="1"/>
  <c r="L38" i="7"/>
  <c r="K38" i="7" s="1"/>
  <c r="L39" i="7"/>
  <c r="K39" i="7" s="1"/>
  <c r="L40" i="7"/>
  <c r="K40" i="7" s="1"/>
  <c r="L41" i="7"/>
  <c r="K41" i="7" s="1"/>
  <c r="L42" i="7"/>
  <c r="K42" i="7" s="1"/>
  <c r="L43" i="7"/>
  <c r="K43" i="7" s="1"/>
  <c r="L44" i="7"/>
  <c r="K44" i="7" s="1"/>
  <c r="L45" i="7"/>
  <c r="K45" i="7" s="1"/>
  <c r="L46" i="7"/>
  <c r="K46" i="7" s="1"/>
  <c r="L47" i="7"/>
  <c r="K47" i="7" s="1"/>
  <c r="L48" i="7"/>
  <c r="K48" i="7" s="1"/>
  <c r="L49" i="7"/>
  <c r="K49" i="7" s="1"/>
  <c r="L50" i="7"/>
  <c r="K50" i="7" s="1"/>
  <c r="L51" i="7"/>
  <c r="K51" i="7" s="1"/>
  <c r="L52" i="7"/>
  <c r="K52" i="7" s="1"/>
  <c r="L53" i="7"/>
  <c r="K53" i="7" s="1"/>
  <c r="L54" i="7"/>
  <c r="K54" i="7" s="1"/>
  <c r="L55" i="7"/>
  <c r="K55" i="7" s="1"/>
  <c r="L56" i="7"/>
  <c r="K56" i="7" s="1"/>
  <c r="L57" i="7"/>
  <c r="K57" i="7" s="1"/>
  <c r="L58" i="7"/>
  <c r="K58" i="7" s="1"/>
  <c r="L59" i="7"/>
  <c r="K59" i="7" s="1"/>
  <c r="L60" i="7"/>
  <c r="K60" i="7" s="1"/>
  <c r="L61" i="7"/>
  <c r="K61" i="7" s="1"/>
  <c r="L62" i="7"/>
  <c r="K62" i="7" s="1"/>
  <c r="L63" i="7"/>
  <c r="K63" i="7" s="1"/>
  <c r="L64" i="7"/>
  <c r="K64" i="7" s="1"/>
  <c r="L65" i="7"/>
  <c r="K65" i="7" s="1"/>
  <c r="L66" i="7"/>
  <c r="K66" i="7" s="1"/>
  <c r="L67" i="7"/>
  <c r="K67" i="7" s="1"/>
  <c r="L68" i="7"/>
  <c r="K68" i="7" s="1"/>
  <c r="L69" i="7"/>
  <c r="K69" i="7" s="1"/>
  <c r="L70" i="7"/>
  <c r="K70" i="7" s="1"/>
  <c r="L71" i="7"/>
  <c r="K71" i="7" s="1"/>
  <c r="L72" i="7"/>
  <c r="K72" i="7" s="1"/>
  <c r="L73" i="7"/>
  <c r="K73" i="7" s="1"/>
  <c r="L74" i="7"/>
  <c r="K74" i="7" s="1"/>
  <c r="L75" i="7"/>
  <c r="K75" i="7" s="1"/>
  <c r="L76" i="7"/>
  <c r="K76" i="7" s="1"/>
  <c r="L77" i="7"/>
  <c r="K77" i="7" s="1"/>
  <c r="L78" i="7"/>
  <c r="K78" i="7" s="1"/>
  <c r="L79" i="7"/>
  <c r="K79" i="7" s="1"/>
  <c r="L80" i="7"/>
  <c r="K80" i="7" s="1"/>
  <c r="L81" i="7"/>
  <c r="K81" i="7" s="1"/>
  <c r="L82" i="7"/>
  <c r="K82" i="7" s="1"/>
  <c r="L83" i="7"/>
  <c r="K83" i="7" s="1"/>
  <c r="L84" i="7"/>
  <c r="K84" i="7" s="1"/>
  <c r="L85" i="7"/>
  <c r="K85" i="7" s="1"/>
  <c r="L86" i="7"/>
  <c r="K86" i="7" s="1"/>
  <c r="L87" i="7"/>
  <c r="K87" i="7" s="1"/>
  <c r="L88" i="7"/>
  <c r="K88" i="7" s="1"/>
  <c r="L89" i="7"/>
  <c r="K89" i="7" s="1"/>
  <c r="L90" i="7"/>
  <c r="K90" i="7" s="1"/>
  <c r="L91" i="7"/>
  <c r="K91" i="7" s="1"/>
  <c r="L92" i="7"/>
  <c r="K92" i="7" s="1"/>
  <c r="L93" i="7"/>
  <c r="K93" i="7" s="1"/>
  <c r="L94" i="7"/>
  <c r="K94" i="7" s="1"/>
  <c r="L95" i="7"/>
  <c r="K95" i="7" s="1"/>
  <c r="L96" i="7"/>
  <c r="K96" i="7" s="1"/>
  <c r="L97" i="7"/>
  <c r="K97" i="7" s="1"/>
  <c r="L98" i="7"/>
  <c r="K98" i="7" s="1"/>
  <c r="L99" i="7"/>
  <c r="K99" i="7" s="1"/>
  <c r="L100" i="7"/>
  <c r="K100" i="7" s="1"/>
  <c r="L101" i="7"/>
  <c r="K101" i="7" s="1"/>
  <c r="L102" i="7"/>
  <c r="K102" i="7" s="1"/>
  <c r="L103" i="7"/>
  <c r="K103" i="7" s="1"/>
  <c r="L104" i="7"/>
  <c r="K104" i="7" s="1"/>
  <c r="L105" i="7"/>
  <c r="K105" i="7" s="1"/>
  <c r="L106" i="7"/>
  <c r="K106" i="7" s="1"/>
  <c r="L107" i="7"/>
  <c r="K107" i="7" s="1"/>
  <c r="L108" i="7"/>
  <c r="K108" i="7" s="1"/>
  <c r="L109" i="7"/>
  <c r="K109" i="7" s="1"/>
  <c r="L110" i="7"/>
  <c r="K110" i="7" s="1"/>
  <c r="L111" i="7"/>
  <c r="K111" i="7" s="1"/>
  <c r="L112" i="7"/>
  <c r="K112" i="7" s="1"/>
  <c r="L113" i="7"/>
  <c r="K113" i="7" s="1"/>
  <c r="L114" i="7"/>
  <c r="K114" i="7" s="1"/>
  <c r="L115" i="7"/>
  <c r="K115" i="7" s="1"/>
  <c r="L116" i="7"/>
  <c r="K116" i="7" s="1"/>
  <c r="L117" i="7"/>
  <c r="K117" i="7" s="1"/>
  <c r="L118" i="7"/>
  <c r="K118" i="7" s="1"/>
  <c r="L119" i="7"/>
  <c r="K119" i="7" s="1"/>
  <c r="L120" i="7"/>
  <c r="K120" i="7" s="1"/>
  <c r="L121" i="7"/>
  <c r="K121" i="7" s="1"/>
  <c r="L122" i="7"/>
  <c r="K122" i="7" s="1"/>
  <c r="L123" i="7"/>
  <c r="K123" i="7" s="1"/>
  <c r="L124" i="7"/>
  <c r="K124" i="7" s="1"/>
  <c r="L125" i="7"/>
  <c r="K125" i="7" s="1"/>
  <c r="L126" i="7"/>
  <c r="K126" i="7" s="1"/>
  <c r="L127" i="7"/>
  <c r="K127" i="7" s="1"/>
  <c r="L128" i="7"/>
  <c r="K128" i="7" s="1"/>
  <c r="L129" i="7"/>
  <c r="K129" i="7" s="1"/>
  <c r="L130" i="7"/>
  <c r="K130" i="7" s="1"/>
  <c r="L131" i="7"/>
  <c r="K131" i="7" s="1"/>
  <c r="L132" i="7"/>
  <c r="K132" i="7" s="1"/>
  <c r="L133" i="7"/>
  <c r="K133" i="7" s="1"/>
  <c r="L134" i="7"/>
  <c r="K134" i="7" s="1"/>
  <c r="L135" i="7"/>
  <c r="K135" i="7" s="1"/>
  <c r="L136" i="7"/>
  <c r="K136" i="7" s="1"/>
  <c r="L137" i="7"/>
  <c r="K137" i="7" s="1"/>
  <c r="L138" i="7"/>
  <c r="K138" i="7" s="1"/>
  <c r="L139" i="7"/>
  <c r="K139" i="7" s="1"/>
  <c r="L140" i="7"/>
  <c r="K140" i="7" s="1"/>
  <c r="L141" i="7"/>
  <c r="K141" i="7" s="1"/>
  <c r="L142" i="7"/>
  <c r="K142" i="7" s="1"/>
  <c r="L143" i="7"/>
  <c r="K143" i="7" s="1"/>
  <c r="L144" i="7"/>
  <c r="K144" i="7" s="1"/>
  <c r="L145" i="7"/>
  <c r="K145" i="7" s="1"/>
  <c r="L146" i="7"/>
  <c r="K146" i="7" s="1"/>
  <c r="L147" i="7"/>
  <c r="K147" i="7" s="1"/>
  <c r="L148" i="7"/>
  <c r="K148" i="7" s="1"/>
  <c r="L149" i="7"/>
  <c r="K149" i="7" s="1"/>
  <c r="L150" i="7"/>
  <c r="K150" i="7" s="1"/>
  <c r="L151" i="7"/>
  <c r="K151" i="7" s="1"/>
  <c r="L152" i="7"/>
  <c r="K152" i="7" s="1"/>
  <c r="L153" i="7"/>
  <c r="K153" i="7" s="1"/>
  <c r="L154" i="7"/>
  <c r="K154" i="7" s="1"/>
  <c r="L155" i="7"/>
  <c r="K155" i="7" s="1"/>
  <c r="L156" i="7"/>
  <c r="K156" i="7" s="1"/>
  <c r="L157" i="7"/>
  <c r="K157" i="7" s="1"/>
  <c r="L158" i="7"/>
  <c r="K158" i="7" s="1"/>
  <c r="L159" i="7"/>
  <c r="K159" i="7" s="1"/>
  <c r="L160" i="7"/>
  <c r="K160" i="7" s="1"/>
  <c r="L161" i="7"/>
  <c r="K161" i="7" s="1"/>
  <c r="L162" i="7"/>
  <c r="K162" i="7" s="1"/>
  <c r="L163" i="7"/>
  <c r="K163" i="7" s="1"/>
  <c r="L164" i="7"/>
  <c r="K164" i="7" s="1"/>
  <c r="L165" i="7"/>
  <c r="K165" i="7" s="1"/>
  <c r="L166" i="7"/>
  <c r="K166" i="7" s="1"/>
  <c r="L167" i="7"/>
  <c r="K167" i="7" s="1"/>
  <c r="L168" i="7"/>
  <c r="K168" i="7" s="1"/>
  <c r="L169" i="7"/>
  <c r="K169" i="7" s="1"/>
  <c r="L170" i="7"/>
  <c r="K170" i="7" s="1"/>
  <c r="L171" i="7"/>
  <c r="K171" i="7" s="1"/>
  <c r="L172" i="7"/>
  <c r="K172" i="7" s="1"/>
  <c r="L173" i="7"/>
  <c r="K173" i="7" s="1"/>
  <c r="L174" i="7"/>
  <c r="K174" i="7" s="1"/>
  <c r="L175" i="7"/>
  <c r="K175" i="7" s="1"/>
  <c r="L176" i="7"/>
  <c r="K176" i="7" s="1"/>
  <c r="L177" i="7"/>
  <c r="K177" i="7" s="1"/>
  <c r="L178" i="7"/>
  <c r="K178" i="7" s="1"/>
  <c r="L179" i="7"/>
  <c r="K179" i="7" s="1"/>
  <c r="L180" i="7"/>
  <c r="K180" i="7" s="1"/>
  <c r="L181" i="7"/>
  <c r="K181" i="7" s="1"/>
  <c r="L182" i="7"/>
  <c r="K182" i="7" s="1"/>
  <c r="L183" i="7"/>
  <c r="K183" i="7" s="1"/>
  <c r="L184" i="7"/>
  <c r="K184" i="7" s="1"/>
  <c r="L185" i="7"/>
  <c r="K185" i="7" s="1"/>
  <c r="L186" i="7"/>
  <c r="K186" i="7" s="1"/>
  <c r="L187" i="7"/>
  <c r="K187" i="7" s="1"/>
  <c r="L188" i="7"/>
  <c r="K188" i="7" s="1"/>
  <c r="L189" i="7"/>
  <c r="K189" i="7" s="1"/>
  <c r="L190" i="7"/>
  <c r="K190" i="7" s="1"/>
  <c r="L191" i="7"/>
  <c r="K191" i="7" s="1"/>
  <c r="L192" i="7"/>
  <c r="K192" i="7" s="1"/>
  <c r="L193" i="7"/>
  <c r="K193" i="7" s="1"/>
  <c r="L194" i="7"/>
  <c r="K194" i="7" s="1"/>
  <c r="L195" i="7"/>
  <c r="K195" i="7" s="1"/>
  <c r="L196" i="7"/>
  <c r="K196" i="7" s="1"/>
  <c r="L197" i="7"/>
  <c r="K197" i="7" s="1"/>
  <c r="L198" i="7"/>
  <c r="K198" i="7" s="1"/>
  <c r="L199" i="7"/>
  <c r="K199" i="7" s="1"/>
  <c r="L200" i="7"/>
  <c r="K200" i="7" s="1"/>
  <c r="L201" i="7"/>
  <c r="K201" i="7" s="1"/>
  <c r="L202" i="7"/>
  <c r="K202" i="7" s="1"/>
  <c r="L203" i="7"/>
  <c r="K203" i="7" s="1"/>
  <c r="L204" i="7"/>
  <c r="K204" i="7" s="1"/>
  <c r="L205" i="7"/>
  <c r="K205" i="7" s="1"/>
  <c r="L206" i="7"/>
  <c r="K206" i="7" s="1"/>
  <c r="L207" i="7"/>
  <c r="K207" i="7" s="1"/>
  <c r="L208" i="7"/>
  <c r="K208" i="7" s="1"/>
  <c r="L209" i="7"/>
  <c r="K209" i="7" s="1"/>
  <c r="L210" i="7"/>
  <c r="K210" i="7" s="1"/>
  <c r="L211" i="7"/>
  <c r="K211" i="7" s="1"/>
  <c r="L212" i="7"/>
  <c r="K212" i="7" s="1"/>
  <c r="L213" i="7"/>
  <c r="K213" i="7" s="1"/>
  <c r="L214" i="7"/>
  <c r="K214" i="7" s="1"/>
  <c r="L215" i="7"/>
  <c r="K215" i="7" s="1"/>
  <c r="L216" i="7"/>
  <c r="K216" i="7" s="1"/>
  <c r="L217" i="7"/>
  <c r="K217" i="7" s="1"/>
  <c r="L218" i="7"/>
  <c r="K218" i="7" s="1"/>
  <c r="L219" i="7"/>
  <c r="K219" i="7" s="1"/>
  <c r="L220" i="7"/>
  <c r="K220" i="7" s="1"/>
  <c r="L221" i="7"/>
  <c r="K221" i="7" s="1"/>
  <c r="L222" i="7"/>
  <c r="K222" i="7" s="1"/>
  <c r="L223" i="7"/>
  <c r="K223" i="7" s="1"/>
  <c r="L224" i="7"/>
  <c r="K224" i="7" s="1"/>
  <c r="L225" i="7"/>
  <c r="K225" i="7" s="1"/>
  <c r="L226" i="7"/>
  <c r="K226" i="7" s="1"/>
  <c r="L227" i="7"/>
  <c r="K227" i="7" s="1"/>
  <c r="L228" i="7"/>
  <c r="K228" i="7" s="1"/>
  <c r="L229" i="7"/>
  <c r="K229" i="7" s="1"/>
  <c r="L230" i="7"/>
  <c r="K230" i="7" s="1"/>
  <c r="L231" i="7"/>
  <c r="K231" i="7" s="1"/>
  <c r="L232" i="7"/>
  <c r="K232" i="7" s="1"/>
  <c r="L233" i="7"/>
  <c r="K233" i="7" s="1"/>
  <c r="L234" i="7"/>
  <c r="K234" i="7" s="1"/>
  <c r="L235" i="7"/>
  <c r="K235" i="7" s="1"/>
  <c r="L236" i="7"/>
  <c r="K236" i="7" s="1"/>
  <c r="L237" i="7"/>
  <c r="K237" i="7" s="1"/>
  <c r="L238" i="7"/>
  <c r="K238" i="7" s="1"/>
  <c r="L239" i="7"/>
  <c r="K239" i="7" s="1"/>
  <c r="L240" i="7"/>
  <c r="K240" i="7" s="1"/>
  <c r="L241" i="7"/>
  <c r="K241" i="7" s="1"/>
  <c r="L242" i="7"/>
  <c r="K242" i="7" s="1"/>
  <c r="L243" i="7"/>
  <c r="K243" i="7" s="1"/>
  <c r="L244" i="7"/>
  <c r="K244" i="7" s="1"/>
  <c r="L245" i="7"/>
  <c r="K245" i="7" s="1"/>
  <c r="L246" i="7"/>
  <c r="K246" i="7" s="1"/>
  <c r="L247" i="7"/>
  <c r="K247" i="7" s="1"/>
  <c r="L248" i="7"/>
  <c r="K248" i="7" s="1"/>
  <c r="L249" i="7"/>
  <c r="K249" i="7" s="1"/>
  <c r="L250" i="7"/>
  <c r="K250" i="7" s="1"/>
  <c r="L251" i="7"/>
  <c r="K251" i="7" s="1"/>
  <c r="L252" i="7"/>
  <c r="K252" i="7" s="1"/>
  <c r="L253" i="7"/>
  <c r="K253" i="7" s="1"/>
  <c r="L254" i="7"/>
  <c r="K254" i="7" s="1"/>
  <c r="L255" i="7"/>
  <c r="K255" i="7" s="1"/>
  <c r="L256" i="7"/>
  <c r="K256" i="7" s="1"/>
  <c r="L257" i="7"/>
  <c r="K257" i="7" s="1"/>
  <c r="L258" i="7"/>
  <c r="K258" i="7" s="1"/>
  <c r="L259" i="7"/>
  <c r="K259" i="7" s="1"/>
  <c r="L260" i="7"/>
  <c r="K260" i="7" s="1"/>
  <c r="L261" i="7"/>
  <c r="K261" i="7" s="1"/>
  <c r="L262" i="7"/>
  <c r="K262" i="7" s="1"/>
  <c r="L263" i="7"/>
  <c r="K263" i="7" s="1"/>
  <c r="L264" i="7"/>
  <c r="K264" i="7" s="1"/>
  <c r="L265" i="7"/>
  <c r="K265" i="7" s="1"/>
  <c r="L266" i="7"/>
  <c r="K266" i="7" s="1"/>
  <c r="L267" i="7"/>
  <c r="K267" i="7" s="1"/>
  <c r="L268" i="7"/>
  <c r="K268" i="7" s="1"/>
  <c r="L269" i="7"/>
  <c r="K269" i="7" s="1"/>
  <c r="L270" i="7"/>
  <c r="K270" i="7" s="1"/>
  <c r="L271" i="7"/>
  <c r="K271" i="7" s="1"/>
  <c r="L272" i="7"/>
  <c r="K272" i="7" s="1"/>
  <c r="L273" i="7"/>
  <c r="K273" i="7" s="1"/>
  <c r="L274" i="7"/>
  <c r="K274" i="7" s="1"/>
  <c r="L275" i="7"/>
  <c r="K275" i="7" s="1"/>
  <c r="L276" i="7"/>
  <c r="K276" i="7" s="1"/>
  <c r="L277" i="7"/>
  <c r="K277" i="7" s="1"/>
  <c r="L278" i="7"/>
  <c r="K278" i="7" s="1"/>
  <c r="L279" i="7"/>
  <c r="K279" i="7" s="1"/>
  <c r="L280" i="7"/>
  <c r="K280" i="7" s="1"/>
  <c r="L281" i="7"/>
  <c r="K281" i="7" s="1"/>
  <c r="L282" i="7"/>
  <c r="K282" i="7" s="1"/>
  <c r="L283" i="7"/>
  <c r="K283" i="7" s="1"/>
  <c r="L284" i="7"/>
  <c r="K284" i="7" s="1"/>
  <c r="L285" i="7"/>
  <c r="K285" i="7" s="1"/>
  <c r="L286" i="7"/>
  <c r="K286" i="7" s="1"/>
  <c r="L11" i="7"/>
  <c r="G235" i="7"/>
  <c r="H11" i="7"/>
  <c r="H12" i="7"/>
  <c r="G12" i="7" s="1"/>
  <c r="H13" i="7"/>
  <c r="G13" i="7" s="1"/>
  <c r="H14" i="7"/>
  <c r="G14" i="7" s="1"/>
  <c r="H2" i="7"/>
  <c r="G2" i="7" s="1"/>
  <c r="H15" i="7"/>
  <c r="G15" i="7" s="1"/>
  <c r="H3" i="7"/>
  <c r="G3" i="7" s="1"/>
  <c r="H18" i="7"/>
  <c r="G18" i="7" s="1"/>
  <c r="H7" i="7"/>
  <c r="G7" i="7" s="1"/>
  <c r="H19" i="7"/>
  <c r="G19" i="7" s="1"/>
  <c r="H20" i="7"/>
  <c r="G20" i="7" s="1"/>
  <c r="H21" i="7"/>
  <c r="G21" i="7" s="1"/>
  <c r="H8" i="7"/>
  <c r="G8" i="7" s="1"/>
  <c r="H9" i="7"/>
  <c r="G9" i="7" s="1"/>
  <c r="H10" i="7"/>
  <c r="G10" i="7" s="1"/>
  <c r="H22" i="7"/>
  <c r="G22" i="7" s="1"/>
  <c r="H23" i="7"/>
  <c r="G23" i="7" s="1"/>
  <c r="H24" i="7"/>
  <c r="G24" i="7" s="1"/>
  <c r="H25" i="7"/>
  <c r="G25" i="7" s="1"/>
  <c r="H26" i="7"/>
  <c r="G26" i="7" s="1"/>
  <c r="H27" i="7"/>
  <c r="G27" i="7" s="1"/>
  <c r="H28" i="7"/>
  <c r="G28" i="7" s="1"/>
  <c r="H29" i="7"/>
  <c r="G29" i="7" s="1"/>
  <c r="H30" i="7"/>
  <c r="G30" i="7" s="1"/>
  <c r="H31" i="7"/>
  <c r="G31" i="7" s="1"/>
  <c r="H32" i="7"/>
  <c r="G32" i="7" s="1"/>
  <c r="H33" i="7"/>
  <c r="G33" i="7" s="1"/>
  <c r="H34" i="7"/>
  <c r="G34" i="7" s="1"/>
  <c r="H35" i="7"/>
  <c r="G35" i="7" s="1"/>
  <c r="H36" i="7"/>
  <c r="G36" i="7" s="1"/>
  <c r="H37" i="7"/>
  <c r="G37" i="7" s="1"/>
  <c r="H38" i="7"/>
  <c r="G38" i="7" s="1"/>
  <c r="H39" i="7"/>
  <c r="G39" i="7" s="1"/>
  <c r="H40" i="7"/>
  <c r="G40" i="7" s="1"/>
  <c r="H41" i="7"/>
  <c r="G41" i="7" s="1"/>
  <c r="H42" i="7"/>
  <c r="G42" i="7" s="1"/>
  <c r="H43" i="7"/>
  <c r="G43" i="7" s="1"/>
  <c r="H44" i="7"/>
  <c r="G44" i="7" s="1"/>
  <c r="H45" i="7"/>
  <c r="G45" i="7" s="1"/>
  <c r="H46" i="7"/>
  <c r="G46" i="7" s="1"/>
  <c r="H47" i="7"/>
  <c r="G47" i="7" s="1"/>
  <c r="H48" i="7"/>
  <c r="G48" i="7" s="1"/>
  <c r="H49" i="7"/>
  <c r="G49" i="7" s="1"/>
  <c r="H50" i="7"/>
  <c r="G50" i="7" s="1"/>
  <c r="H51" i="7"/>
  <c r="G51" i="7" s="1"/>
  <c r="H52" i="7"/>
  <c r="G52" i="7" s="1"/>
  <c r="H53" i="7"/>
  <c r="G53" i="7" s="1"/>
  <c r="H54" i="7"/>
  <c r="G54" i="7" s="1"/>
  <c r="H55" i="7"/>
  <c r="G55" i="7" s="1"/>
  <c r="H56" i="7"/>
  <c r="G56" i="7" s="1"/>
  <c r="H57" i="7"/>
  <c r="G57" i="7" s="1"/>
  <c r="H58" i="7"/>
  <c r="G58" i="7" s="1"/>
  <c r="H59" i="7"/>
  <c r="G59" i="7" s="1"/>
  <c r="H60" i="7"/>
  <c r="G60" i="7" s="1"/>
  <c r="H61" i="7"/>
  <c r="G61" i="7" s="1"/>
  <c r="H62" i="7"/>
  <c r="G62" i="7" s="1"/>
  <c r="H63" i="7"/>
  <c r="G63" i="7" s="1"/>
  <c r="H64" i="7"/>
  <c r="G64" i="7" s="1"/>
  <c r="H65" i="7"/>
  <c r="G65" i="7" s="1"/>
  <c r="H66" i="7"/>
  <c r="G66" i="7" s="1"/>
  <c r="H67" i="7"/>
  <c r="G67" i="7" s="1"/>
  <c r="H68" i="7"/>
  <c r="G68" i="7" s="1"/>
  <c r="H69" i="7"/>
  <c r="G69" i="7" s="1"/>
  <c r="H70" i="7"/>
  <c r="G70" i="7" s="1"/>
  <c r="H71" i="7"/>
  <c r="G71" i="7" s="1"/>
  <c r="H72" i="7"/>
  <c r="G72" i="7" s="1"/>
  <c r="H73" i="7"/>
  <c r="G73" i="7" s="1"/>
  <c r="H74" i="7"/>
  <c r="G74" i="7" s="1"/>
  <c r="H75" i="7"/>
  <c r="G75" i="7" s="1"/>
  <c r="H76" i="7"/>
  <c r="G76" i="7" s="1"/>
  <c r="H77" i="7"/>
  <c r="G77" i="7" s="1"/>
  <c r="H78" i="7"/>
  <c r="G78" i="7" s="1"/>
  <c r="H79" i="7"/>
  <c r="G79" i="7" s="1"/>
  <c r="H80" i="7"/>
  <c r="G80" i="7" s="1"/>
  <c r="H81" i="7"/>
  <c r="G81" i="7" s="1"/>
  <c r="H82" i="7"/>
  <c r="G82" i="7" s="1"/>
  <c r="H83" i="7"/>
  <c r="G83" i="7" s="1"/>
  <c r="H84" i="7"/>
  <c r="G84" i="7" s="1"/>
  <c r="H85" i="7"/>
  <c r="G85" i="7" s="1"/>
  <c r="H86" i="7"/>
  <c r="G86" i="7" s="1"/>
  <c r="H87" i="7"/>
  <c r="G87" i="7" s="1"/>
  <c r="H88" i="7"/>
  <c r="G88" i="7" s="1"/>
  <c r="H89" i="7"/>
  <c r="G89" i="7" s="1"/>
  <c r="H90" i="7"/>
  <c r="G90" i="7" s="1"/>
  <c r="H91" i="7"/>
  <c r="G91" i="7" s="1"/>
  <c r="H92" i="7"/>
  <c r="G92" i="7" s="1"/>
  <c r="H93" i="7"/>
  <c r="G93" i="7" s="1"/>
  <c r="H94" i="7"/>
  <c r="G94" i="7" s="1"/>
  <c r="H95" i="7"/>
  <c r="G95" i="7" s="1"/>
  <c r="H96" i="7"/>
  <c r="G96" i="7" s="1"/>
  <c r="H97" i="7"/>
  <c r="G97" i="7" s="1"/>
  <c r="H98" i="7"/>
  <c r="G98" i="7" s="1"/>
  <c r="H99" i="7"/>
  <c r="G99" i="7" s="1"/>
  <c r="H100" i="7"/>
  <c r="G100" i="7" s="1"/>
  <c r="H101" i="7"/>
  <c r="G101" i="7" s="1"/>
  <c r="H102" i="7"/>
  <c r="G102" i="7" s="1"/>
  <c r="H103" i="7"/>
  <c r="G103" i="7" s="1"/>
  <c r="H104" i="7"/>
  <c r="G104" i="7" s="1"/>
  <c r="H105" i="7"/>
  <c r="G105" i="7" s="1"/>
  <c r="H106" i="7"/>
  <c r="G106" i="7" s="1"/>
  <c r="H107" i="7"/>
  <c r="G107" i="7" s="1"/>
  <c r="H108" i="7"/>
  <c r="G108" i="7" s="1"/>
  <c r="H109" i="7"/>
  <c r="G109" i="7" s="1"/>
  <c r="H110" i="7"/>
  <c r="G110" i="7" s="1"/>
  <c r="H111" i="7"/>
  <c r="G111" i="7" s="1"/>
  <c r="H112" i="7"/>
  <c r="G112" i="7" s="1"/>
  <c r="H113" i="7"/>
  <c r="G113" i="7" s="1"/>
  <c r="H114" i="7"/>
  <c r="G114" i="7" s="1"/>
  <c r="H115" i="7"/>
  <c r="G115" i="7" s="1"/>
  <c r="H116" i="7"/>
  <c r="G116" i="7" s="1"/>
  <c r="H117" i="7"/>
  <c r="G117" i="7" s="1"/>
  <c r="H118" i="7"/>
  <c r="G118" i="7" s="1"/>
  <c r="H119" i="7"/>
  <c r="G119" i="7" s="1"/>
  <c r="H120" i="7"/>
  <c r="G120" i="7" s="1"/>
  <c r="H121" i="7"/>
  <c r="G121" i="7" s="1"/>
  <c r="H122" i="7"/>
  <c r="G122" i="7" s="1"/>
  <c r="H123" i="7"/>
  <c r="G123" i="7" s="1"/>
  <c r="H124" i="7"/>
  <c r="G124" i="7" s="1"/>
  <c r="H125" i="7"/>
  <c r="G125" i="7" s="1"/>
  <c r="H126" i="7"/>
  <c r="G126" i="7" s="1"/>
  <c r="H127" i="7"/>
  <c r="G127" i="7" s="1"/>
  <c r="H128" i="7"/>
  <c r="G128" i="7" s="1"/>
  <c r="H129" i="7"/>
  <c r="G129" i="7" s="1"/>
  <c r="H130" i="7"/>
  <c r="G130" i="7" s="1"/>
  <c r="H131" i="7"/>
  <c r="G131" i="7" s="1"/>
  <c r="H132" i="7"/>
  <c r="G132" i="7" s="1"/>
  <c r="H133" i="7"/>
  <c r="G133" i="7" s="1"/>
  <c r="H134" i="7"/>
  <c r="G134" i="7" s="1"/>
  <c r="H135" i="7"/>
  <c r="G135" i="7" s="1"/>
  <c r="H136" i="7"/>
  <c r="G136" i="7" s="1"/>
  <c r="H137" i="7"/>
  <c r="G137" i="7" s="1"/>
  <c r="H138" i="7"/>
  <c r="G138" i="7" s="1"/>
  <c r="H139" i="7"/>
  <c r="G139" i="7" s="1"/>
  <c r="H140" i="7"/>
  <c r="G140" i="7" s="1"/>
  <c r="H141" i="7"/>
  <c r="G141" i="7" s="1"/>
  <c r="H142" i="7"/>
  <c r="G142" i="7" s="1"/>
  <c r="H143" i="7"/>
  <c r="G143" i="7" s="1"/>
  <c r="H144" i="7"/>
  <c r="G144" i="7" s="1"/>
  <c r="H145" i="7"/>
  <c r="G145" i="7" s="1"/>
  <c r="H146" i="7"/>
  <c r="G146" i="7" s="1"/>
  <c r="H147" i="7"/>
  <c r="G147" i="7" s="1"/>
  <c r="H148" i="7"/>
  <c r="G148" i="7" s="1"/>
  <c r="H149" i="7"/>
  <c r="G149" i="7" s="1"/>
  <c r="H150" i="7"/>
  <c r="G150" i="7" s="1"/>
  <c r="H151" i="7"/>
  <c r="G151" i="7" s="1"/>
  <c r="H152" i="7"/>
  <c r="G152" i="7" s="1"/>
  <c r="H153" i="7"/>
  <c r="G153" i="7" s="1"/>
  <c r="H154" i="7"/>
  <c r="G154" i="7" s="1"/>
  <c r="H155" i="7"/>
  <c r="G155" i="7" s="1"/>
  <c r="H156" i="7"/>
  <c r="G156" i="7" s="1"/>
  <c r="H157" i="7"/>
  <c r="G157" i="7" s="1"/>
  <c r="H158" i="7"/>
  <c r="G158" i="7" s="1"/>
  <c r="H159" i="7"/>
  <c r="G159" i="7" s="1"/>
  <c r="H160" i="7"/>
  <c r="G160" i="7" s="1"/>
  <c r="H161" i="7"/>
  <c r="G161" i="7" s="1"/>
  <c r="H162" i="7"/>
  <c r="G162" i="7" s="1"/>
  <c r="H163" i="7"/>
  <c r="G163" i="7" s="1"/>
  <c r="H164" i="7"/>
  <c r="G164" i="7" s="1"/>
  <c r="H165" i="7"/>
  <c r="G165" i="7" s="1"/>
  <c r="H166" i="7"/>
  <c r="G166" i="7" s="1"/>
  <c r="H167" i="7"/>
  <c r="G167" i="7" s="1"/>
  <c r="H168" i="7"/>
  <c r="G168" i="7" s="1"/>
  <c r="H169" i="7"/>
  <c r="G169" i="7" s="1"/>
  <c r="H170" i="7"/>
  <c r="G170" i="7" s="1"/>
  <c r="H171" i="7"/>
  <c r="G171" i="7" s="1"/>
  <c r="H172" i="7"/>
  <c r="G172" i="7" s="1"/>
  <c r="H173" i="7"/>
  <c r="G173" i="7" s="1"/>
  <c r="H174" i="7"/>
  <c r="G174" i="7" s="1"/>
  <c r="H175" i="7"/>
  <c r="G175" i="7" s="1"/>
  <c r="H176" i="7"/>
  <c r="G176" i="7" s="1"/>
  <c r="H177" i="7"/>
  <c r="G177" i="7" s="1"/>
  <c r="H178" i="7"/>
  <c r="G178" i="7" s="1"/>
  <c r="H179" i="7"/>
  <c r="G179" i="7" s="1"/>
  <c r="H180" i="7"/>
  <c r="G180" i="7" s="1"/>
  <c r="H181" i="7"/>
  <c r="G181" i="7" s="1"/>
  <c r="H182" i="7"/>
  <c r="G182" i="7" s="1"/>
  <c r="H183" i="7"/>
  <c r="G183" i="7" s="1"/>
  <c r="H184" i="7"/>
  <c r="G184" i="7" s="1"/>
  <c r="H185" i="7"/>
  <c r="G185" i="7" s="1"/>
  <c r="H186" i="7"/>
  <c r="G186" i="7" s="1"/>
  <c r="H187" i="7"/>
  <c r="G187" i="7" s="1"/>
  <c r="H188" i="7"/>
  <c r="G188" i="7" s="1"/>
  <c r="H189" i="7"/>
  <c r="G189" i="7" s="1"/>
  <c r="H190" i="7"/>
  <c r="G190" i="7" s="1"/>
  <c r="H191" i="7"/>
  <c r="G191" i="7" s="1"/>
  <c r="H192" i="7"/>
  <c r="G192" i="7" s="1"/>
  <c r="H193" i="7"/>
  <c r="G193" i="7" s="1"/>
  <c r="H194" i="7"/>
  <c r="G194" i="7" s="1"/>
  <c r="H195" i="7"/>
  <c r="G195" i="7" s="1"/>
  <c r="H196" i="7"/>
  <c r="G196" i="7" s="1"/>
  <c r="H197" i="7"/>
  <c r="G197" i="7" s="1"/>
  <c r="H198" i="7"/>
  <c r="G198" i="7" s="1"/>
  <c r="H199" i="7"/>
  <c r="G199" i="7" s="1"/>
  <c r="H200" i="7"/>
  <c r="G200" i="7" s="1"/>
  <c r="H201" i="7"/>
  <c r="G201" i="7" s="1"/>
  <c r="H202" i="7"/>
  <c r="G202" i="7" s="1"/>
  <c r="H203" i="7"/>
  <c r="G203" i="7" s="1"/>
  <c r="H204" i="7"/>
  <c r="G204" i="7" s="1"/>
  <c r="H205" i="7"/>
  <c r="G205" i="7" s="1"/>
  <c r="H206" i="7"/>
  <c r="G206" i="7" s="1"/>
  <c r="H207" i="7"/>
  <c r="G207" i="7" s="1"/>
  <c r="H208" i="7"/>
  <c r="G208" i="7" s="1"/>
  <c r="H209" i="7"/>
  <c r="G209" i="7" s="1"/>
  <c r="H210" i="7"/>
  <c r="G210" i="7" s="1"/>
  <c r="H211" i="7"/>
  <c r="G211" i="7" s="1"/>
  <c r="H212" i="7"/>
  <c r="G212" i="7" s="1"/>
  <c r="H213" i="7"/>
  <c r="G213" i="7" s="1"/>
  <c r="H214" i="7"/>
  <c r="G214" i="7" s="1"/>
  <c r="H215" i="7"/>
  <c r="G215" i="7" s="1"/>
  <c r="H216" i="7"/>
  <c r="G216" i="7" s="1"/>
  <c r="H217" i="7"/>
  <c r="G217" i="7" s="1"/>
  <c r="H218" i="7"/>
  <c r="G218" i="7" s="1"/>
  <c r="H219" i="7"/>
  <c r="G219" i="7" s="1"/>
  <c r="H220" i="7"/>
  <c r="G220" i="7" s="1"/>
  <c r="H221" i="7"/>
  <c r="G221" i="7" s="1"/>
  <c r="H222" i="7"/>
  <c r="G222" i="7" s="1"/>
  <c r="H223" i="7"/>
  <c r="G223" i="7" s="1"/>
  <c r="H224" i="7"/>
  <c r="G224" i="7" s="1"/>
  <c r="H225" i="7"/>
  <c r="G225" i="7" s="1"/>
  <c r="H226" i="7"/>
  <c r="G226" i="7" s="1"/>
  <c r="H227" i="7"/>
  <c r="G227" i="7" s="1"/>
  <c r="H228" i="7"/>
  <c r="G228" i="7" s="1"/>
  <c r="H229" i="7"/>
  <c r="G229" i="7" s="1"/>
  <c r="H230" i="7"/>
  <c r="G230" i="7" s="1"/>
  <c r="H231" i="7"/>
  <c r="G231" i="7" s="1"/>
  <c r="H232" i="7"/>
  <c r="G232" i="7" s="1"/>
  <c r="H233" i="7"/>
  <c r="G233" i="7" s="1"/>
  <c r="H234" i="7"/>
  <c r="G234" i="7" s="1"/>
  <c r="H235" i="7"/>
  <c r="H236" i="7"/>
  <c r="G236" i="7" s="1"/>
  <c r="H237" i="7"/>
  <c r="G237" i="7" s="1"/>
  <c r="H238" i="7"/>
  <c r="G238" i="7" s="1"/>
  <c r="H239" i="7"/>
  <c r="G239" i="7" s="1"/>
  <c r="H240" i="7"/>
  <c r="G240" i="7" s="1"/>
  <c r="H241" i="7"/>
  <c r="G241" i="7" s="1"/>
  <c r="H242" i="7"/>
  <c r="G242" i="7" s="1"/>
  <c r="H243" i="7"/>
  <c r="G243" i="7" s="1"/>
  <c r="H244" i="7"/>
  <c r="G244" i="7" s="1"/>
  <c r="H245" i="7"/>
  <c r="G245" i="7" s="1"/>
  <c r="H246" i="7"/>
  <c r="G246" i="7" s="1"/>
  <c r="H247" i="7"/>
  <c r="G247" i="7" s="1"/>
  <c r="H248" i="7"/>
  <c r="G248" i="7" s="1"/>
  <c r="H249" i="7"/>
  <c r="G249" i="7" s="1"/>
  <c r="H250" i="7"/>
  <c r="G250" i="7" s="1"/>
  <c r="H251" i="7"/>
  <c r="G251" i="7" s="1"/>
  <c r="H252" i="7"/>
  <c r="G252" i="7" s="1"/>
  <c r="H253" i="7"/>
  <c r="G253" i="7" s="1"/>
  <c r="H254" i="7"/>
  <c r="G254" i="7" s="1"/>
  <c r="H255" i="7"/>
  <c r="G255" i="7" s="1"/>
  <c r="H256" i="7"/>
  <c r="G256" i="7" s="1"/>
  <c r="H257" i="7"/>
  <c r="G257" i="7" s="1"/>
  <c r="H258" i="7"/>
  <c r="G258" i="7" s="1"/>
  <c r="H259" i="7"/>
  <c r="G259" i="7" s="1"/>
  <c r="H260" i="7"/>
  <c r="G260" i="7" s="1"/>
  <c r="H261" i="7"/>
  <c r="G261" i="7" s="1"/>
  <c r="H262" i="7"/>
  <c r="G262" i="7" s="1"/>
  <c r="H263" i="7"/>
  <c r="G263" i="7" s="1"/>
  <c r="H264" i="7"/>
  <c r="G264" i="7" s="1"/>
  <c r="H265" i="7"/>
  <c r="G265" i="7" s="1"/>
  <c r="H266" i="7"/>
  <c r="G266" i="7" s="1"/>
  <c r="H267" i="7"/>
  <c r="G267" i="7" s="1"/>
  <c r="H268" i="7"/>
  <c r="G268" i="7" s="1"/>
  <c r="H269" i="7"/>
  <c r="G269" i="7" s="1"/>
  <c r="H270" i="7"/>
  <c r="G270" i="7" s="1"/>
  <c r="H271" i="7"/>
  <c r="G271" i="7" s="1"/>
  <c r="H272" i="7"/>
  <c r="G272" i="7" s="1"/>
  <c r="H273" i="7"/>
  <c r="G273" i="7" s="1"/>
  <c r="H274" i="7"/>
  <c r="G274" i="7" s="1"/>
  <c r="H275" i="7"/>
  <c r="G275" i="7" s="1"/>
  <c r="H276" i="7"/>
  <c r="G276" i="7" s="1"/>
  <c r="H277" i="7"/>
  <c r="G277" i="7" s="1"/>
  <c r="H278" i="7"/>
  <c r="G278" i="7" s="1"/>
  <c r="H279" i="7"/>
  <c r="G279" i="7" s="1"/>
  <c r="H280" i="7"/>
  <c r="G280" i="7" s="1"/>
  <c r="H281" i="7"/>
  <c r="G281" i="7" s="1"/>
  <c r="H282" i="7"/>
  <c r="G282" i="7" s="1"/>
  <c r="H283" i="7"/>
  <c r="G283" i="7" s="1"/>
  <c r="H284" i="7"/>
  <c r="G284" i="7" s="1"/>
  <c r="H285" i="7"/>
  <c r="G285" i="7" s="1"/>
  <c r="H286" i="7"/>
  <c r="G286" i="7" s="1"/>
  <c r="M2" i="7"/>
  <c r="M15" i="7"/>
  <c r="M3" i="7"/>
  <c r="M18" i="7"/>
  <c r="M7" i="7"/>
  <c r="M19" i="7"/>
  <c r="M20" i="7"/>
  <c r="M21" i="7"/>
  <c r="M8" i="7"/>
  <c r="M9" i="7"/>
  <c r="M10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I11" i="7"/>
  <c r="I12" i="7"/>
  <c r="I13" i="7"/>
  <c r="I14" i="7"/>
  <c r="I2" i="7"/>
  <c r="I15" i="7"/>
  <c r="I3" i="7"/>
  <c r="I18" i="7"/>
  <c r="I7" i="7"/>
  <c r="I19" i="7"/>
  <c r="I20" i="7"/>
  <c r="I21" i="7"/>
  <c r="I8" i="7"/>
  <c r="I9" i="7"/>
  <c r="I10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E11" i="7"/>
  <c r="E12" i="7"/>
  <c r="E13" i="7"/>
  <c r="E14" i="7"/>
  <c r="E15" i="7"/>
  <c r="E3" i="7"/>
  <c r="E18" i="7"/>
  <c r="E7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A29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12" i="6"/>
  <c r="E2" i="7" s="1"/>
  <c r="C15" i="7"/>
  <c r="C3" i="7"/>
  <c r="C18" i="7"/>
  <c r="C7" i="7"/>
  <c r="C19" i="7"/>
  <c r="C20" i="7"/>
  <c r="C21" i="7"/>
  <c r="C8" i="7"/>
  <c r="C9" i="7"/>
  <c r="C10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A3" i="6"/>
  <c r="A4" i="6"/>
  <c r="A5" i="6"/>
  <c r="A6" i="6"/>
  <c r="A7" i="6"/>
  <c r="A8" i="6"/>
  <c r="A9" i="6"/>
  <c r="A10" i="6"/>
  <c r="A11" i="6"/>
  <c r="H2" i="5"/>
  <c r="H3" i="5"/>
  <c r="H4" i="5"/>
  <c r="D2" i="5"/>
  <c r="D3" i="5"/>
  <c r="D4" i="5"/>
  <c r="M12" i="7" l="1"/>
  <c r="M13" i="7"/>
  <c r="M14" i="7"/>
  <c r="M11" i="7"/>
  <c r="K12" i="7"/>
  <c r="K13" i="7"/>
  <c r="K14" i="7"/>
  <c r="K11" i="7"/>
  <c r="G11" i="7"/>
  <c r="H3" i="9"/>
  <c r="I3" i="9" s="1"/>
  <c r="H4" i="9"/>
  <c r="I4" i="9" s="1"/>
  <c r="I35" i="9"/>
  <c r="I36" i="9"/>
  <c r="I37" i="9"/>
  <c r="I38" i="9"/>
  <c r="I39" i="9"/>
  <c r="I43" i="9"/>
  <c r="I62" i="9"/>
  <c r="I63" i="9"/>
  <c r="I86" i="9"/>
  <c r="I105" i="9"/>
  <c r="I106" i="9"/>
  <c r="I151" i="9"/>
  <c r="I152" i="9"/>
  <c r="I177" i="9"/>
  <c r="I199" i="9"/>
  <c r="I201" i="9"/>
  <c r="I223" i="9"/>
  <c r="I224" i="9"/>
  <c r="I227" i="9"/>
  <c r="I228" i="9"/>
  <c r="I229" i="9"/>
  <c r="I230" i="9"/>
  <c r="I231" i="9"/>
  <c r="I239" i="9"/>
  <c r="I303" i="9"/>
  <c r="I323" i="9"/>
  <c r="I324" i="9"/>
  <c r="I327" i="9"/>
  <c r="I370" i="9"/>
  <c r="I371" i="9"/>
  <c r="I374" i="9"/>
  <c r="I395" i="9"/>
  <c r="I396" i="9"/>
  <c r="I397" i="9"/>
  <c r="I415" i="9"/>
  <c r="I416" i="9"/>
  <c r="I419" i="9"/>
  <c r="H5" i="9"/>
  <c r="I5" i="9" s="1"/>
  <c r="H13" i="9"/>
  <c r="I13" i="9" s="1"/>
  <c r="H6" i="9"/>
  <c r="H14" i="9"/>
  <c r="I14" i="9" s="1"/>
  <c r="H17" i="9"/>
  <c r="I17" i="9" s="1"/>
  <c r="H9" i="9"/>
  <c r="I9" i="9" s="1"/>
  <c r="H18" i="9"/>
  <c r="I18" i="9" s="1"/>
  <c r="H10" i="9"/>
  <c r="I10" i="9" s="1"/>
  <c r="H11" i="9"/>
  <c r="I11" i="9" s="1"/>
  <c r="H12" i="9"/>
  <c r="I12" i="9" s="1"/>
  <c r="H22" i="9"/>
  <c r="I22" i="9" s="1"/>
  <c r="H23" i="9"/>
  <c r="I23" i="9" s="1"/>
  <c r="H24" i="9"/>
  <c r="I24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H36" i="9"/>
  <c r="H37" i="9"/>
  <c r="H38" i="9"/>
  <c r="H39" i="9"/>
  <c r="H40" i="9"/>
  <c r="I40" i="9" s="1"/>
  <c r="H41" i="9"/>
  <c r="I41" i="9" s="1"/>
  <c r="H42" i="9"/>
  <c r="I42" i="9" s="1"/>
  <c r="H43" i="9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 s="1"/>
  <c r="H58" i="9"/>
  <c r="I58" i="9" s="1"/>
  <c r="H59" i="9"/>
  <c r="I59" i="9" s="1"/>
  <c r="H60" i="9"/>
  <c r="I60" i="9" s="1"/>
  <c r="H61" i="9"/>
  <c r="I61" i="9" s="1"/>
  <c r="H62" i="9"/>
  <c r="H63" i="9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H70" i="9"/>
  <c r="I70" i="9" s="1"/>
  <c r="H71" i="9"/>
  <c r="I71" i="9" s="1"/>
  <c r="H72" i="9"/>
  <c r="I72" i="9" s="1"/>
  <c r="H73" i="9"/>
  <c r="I73" i="9" s="1"/>
  <c r="H74" i="9"/>
  <c r="I74" i="9" s="1"/>
  <c r="H75" i="9"/>
  <c r="I75" i="9" s="1"/>
  <c r="H76" i="9"/>
  <c r="I76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H87" i="9"/>
  <c r="I87" i="9" s="1"/>
  <c r="H88" i="9"/>
  <c r="I88" i="9" s="1"/>
  <c r="H89" i="9"/>
  <c r="I89" i="9" s="1"/>
  <c r="H90" i="9"/>
  <c r="I90" i="9" s="1"/>
  <c r="H91" i="9"/>
  <c r="I91" i="9" s="1"/>
  <c r="H92" i="9"/>
  <c r="I92" i="9" s="1"/>
  <c r="H93" i="9"/>
  <c r="I93" i="9" s="1"/>
  <c r="H94" i="9"/>
  <c r="I94" i="9" s="1"/>
  <c r="H95" i="9"/>
  <c r="I95" i="9" s="1"/>
  <c r="H96" i="9"/>
  <c r="I96" i="9" s="1"/>
  <c r="H97" i="9"/>
  <c r="I97" i="9" s="1"/>
  <c r="H98" i="9"/>
  <c r="I98" i="9" s="1"/>
  <c r="H99" i="9"/>
  <c r="I99" i="9" s="1"/>
  <c r="H100" i="9"/>
  <c r="I100" i="9" s="1"/>
  <c r="H101" i="9"/>
  <c r="I101" i="9" s="1"/>
  <c r="H102" i="9"/>
  <c r="I102" i="9" s="1"/>
  <c r="H103" i="9"/>
  <c r="I103" i="9" s="1"/>
  <c r="H104" i="9"/>
  <c r="I104" i="9" s="1"/>
  <c r="H105" i="9"/>
  <c r="H106" i="9"/>
  <c r="H107" i="9"/>
  <c r="I107" i="9" s="1"/>
  <c r="H108" i="9"/>
  <c r="I108" i="9" s="1"/>
  <c r="H109" i="9"/>
  <c r="I109" i="9" s="1"/>
  <c r="H110" i="9"/>
  <c r="I110" i="9" s="1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18" i="9"/>
  <c r="I118" i="9" s="1"/>
  <c r="H119" i="9"/>
  <c r="I119" i="9" s="1"/>
  <c r="H120" i="9"/>
  <c r="I120" i="9" s="1"/>
  <c r="H121" i="9"/>
  <c r="I121" i="9" s="1"/>
  <c r="H122" i="9"/>
  <c r="I122" i="9" s="1"/>
  <c r="H123" i="9"/>
  <c r="I123" i="9" s="1"/>
  <c r="H124" i="9"/>
  <c r="I124" i="9" s="1"/>
  <c r="H125" i="9"/>
  <c r="I125" i="9" s="1"/>
  <c r="H126" i="9"/>
  <c r="I126" i="9" s="1"/>
  <c r="H127" i="9"/>
  <c r="I127" i="9" s="1"/>
  <c r="H128" i="9"/>
  <c r="I128" i="9" s="1"/>
  <c r="H129" i="9"/>
  <c r="I129" i="9" s="1"/>
  <c r="H130" i="9"/>
  <c r="I130" i="9" s="1"/>
  <c r="H131" i="9"/>
  <c r="I131" i="9" s="1"/>
  <c r="H132" i="9"/>
  <c r="I132" i="9" s="1"/>
  <c r="H133" i="9"/>
  <c r="I133" i="9" s="1"/>
  <c r="H134" i="9"/>
  <c r="I134" i="9" s="1"/>
  <c r="H135" i="9"/>
  <c r="I135" i="9" s="1"/>
  <c r="H136" i="9"/>
  <c r="I136" i="9" s="1"/>
  <c r="H137" i="9"/>
  <c r="I137" i="9" s="1"/>
  <c r="H138" i="9"/>
  <c r="I138" i="9" s="1"/>
  <c r="H139" i="9"/>
  <c r="I139" i="9" s="1"/>
  <c r="H140" i="9"/>
  <c r="I140" i="9" s="1"/>
  <c r="H141" i="9"/>
  <c r="I141" i="9" s="1"/>
  <c r="H142" i="9"/>
  <c r="I142" i="9" s="1"/>
  <c r="H143" i="9"/>
  <c r="I143" i="9" s="1"/>
  <c r="H144" i="9"/>
  <c r="I144" i="9" s="1"/>
  <c r="H145" i="9"/>
  <c r="I145" i="9" s="1"/>
  <c r="H146" i="9"/>
  <c r="I146" i="9" s="1"/>
  <c r="H147" i="9"/>
  <c r="I147" i="9" s="1"/>
  <c r="H148" i="9"/>
  <c r="I148" i="9" s="1"/>
  <c r="H149" i="9"/>
  <c r="I149" i="9" s="1"/>
  <c r="H150" i="9"/>
  <c r="I150" i="9" s="1"/>
  <c r="H151" i="9"/>
  <c r="H152" i="9"/>
  <c r="H153" i="9"/>
  <c r="I153" i="9" s="1"/>
  <c r="H154" i="9"/>
  <c r="I154" i="9" s="1"/>
  <c r="H155" i="9"/>
  <c r="I155" i="9" s="1"/>
  <c r="H156" i="9"/>
  <c r="I156" i="9" s="1"/>
  <c r="H157" i="9"/>
  <c r="I157" i="9" s="1"/>
  <c r="H158" i="9"/>
  <c r="I158" i="9" s="1"/>
  <c r="H159" i="9"/>
  <c r="I159" i="9" s="1"/>
  <c r="H160" i="9"/>
  <c r="I160" i="9" s="1"/>
  <c r="H161" i="9"/>
  <c r="I161" i="9" s="1"/>
  <c r="H162" i="9"/>
  <c r="I162" i="9" s="1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69" i="9"/>
  <c r="I169" i="9" s="1"/>
  <c r="H170" i="9"/>
  <c r="I170" i="9" s="1"/>
  <c r="H171" i="9"/>
  <c r="I171" i="9" s="1"/>
  <c r="H172" i="9"/>
  <c r="I172" i="9" s="1"/>
  <c r="H173" i="9"/>
  <c r="I173" i="9" s="1"/>
  <c r="H174" i="9"/>
  <c r="I174" i="9" s="1"/>
  <c r="H175" i="9"/>
  <c r="I175" i="9" s="1"/>
  <c r="H176" i="9"/>
  <c r="I176" i="9" s="1"/>
  <c r="H177" i="9"/>
  <c r="H178" i="9"/>
  <c r="I178" i="9" s="1"/>
  <c r="H179" i="9"/>
  <c r="I179" i="9" s="1"/>
  <c r="H180" i="9"/>
  <c r="I180" i="9" s="1"/>
  <c r="H181" i="9"/>
  <c r="I181" i="9" s="1"/>
  <c r="H182" i="9"/>
  <c r="I182" i="9" s="1"/>
  <c r="H183" i="9"/>
  <c r="I183" i="9" s="1"/>
  <c r="H184" i="9"/>
  <c r="I184" i="9" s="1"/>
  <c r="H185" i="9"/>
  <c r="I185" i="9" s="1"/>
  <c r="H186" i="9"/>
  <c r="I186" i="9" s="1"/>
  <c r="H187" i="9"/>
  <c r="I187" i="9" s="1"/>
  <c r="H188" i="9"/>
  <c r="I188" i="9" s="1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I194" i="9" s="1"/>
  <c r="H195" i="9"/>
  <c r="I195" i="9" s="1"/>
  <c r="H196" i="9"/>
  <c r="I196" i="9" s="1"/>
  <c r="H197" i="9"/>
  <c r="I197" i="9" s="1"/>
  <c r="H198" i="9"/>
  <c r="I198" i="9" s="1"/>
  <c r="H199" i="9"/>
  <c r="H200" i="9"/>
  <c r="I200" i="9" s="1"/>
  <c r="H201" i="9"/>
  <c r="H202" i="9"/>
  <c r="I202" i="9" s="1"/>
  <c r="H203" i="9"/>
  <c r="I203" i="9" s="1"/>
  <c r="H204" i="9"/>
  <c r="I204" i="9" s="1"/>
  <c r="H205" i="9"/>
  <c r="I205" i="9" s="1"/>
  <c r="H206" i="9"/>
  <c r="I206" i="9" s="1"/>
  <c r="H207" i="9"/>
  <c r="I207" i="9" s="1"/>
  <c r="H208" i="9"/>
  <c r="I208" i="9" s="1"/>
  <c r="H209" i="9"/>
  <c r="I209" i="9" s="1"/>
  <c r="H210" i="9"/>
  <c r="I210" i="9" s="1"/>
  <c r="H211" i="9"/>
  <c r="I211" i="9" s="1"/>
  <c r="H212" i="9"/>
  <c r="I212" i="9" s="1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I218" i="9" s="1"/>
  <c r="H219" i="9"/>
  <c r="I219" i="9" s="1"/>
  <c r="H220" i="9"/>
  <c r="I220" i="9" s="1"/>
  <c r="H221" i="9"/>
  <c r="I221" i="9" s="1"/>
  <c r="H222" i="9"/>
  <c r="I222" i="9" s="1"/>
  <c r="H223" i="9"/>
  <c r="H224" i="9"/>
  <c r="H225" i="9"/>
  <c r="I225" i="9" s="1"/>
  <c r="H226" i="9"/>
  <c r="I226" i="9" s="1"/>
  <c r="H227" i="9"/>
  <c r="H228" i="9"/>
  <c r="H229" i="9"/>
  <c r="H230" i="9"/>
  <c r="H231" i="9"/>
  <c r="H232" i="9"/>
  <c r="I232" i="9" s="1"/>
  <c r="H233" i="9"/>
  <c r="I233" i="9" s="1"/>
  <c r="H234" i="9"/>
  <c r="I234" i="9" s="1"/>
  <c r="H235" i="9"/>
  <c r="I235" i="9" s="1"/>
  <c r="H236" i="9"/>
  <c r="I236" i="9" s="1"/>
  <c r="H237" i="9"/>
  <c r="I237" i="9" s="1"/>
  <c r="H238" i="9"/>
  <c r="I238" i="9" s="1"/>
  <c r="H239" i="9"/>
  <c r="H240" i="9"/>
  <c r="I240" i="9" s="1"/>
  <c r="H241" i="9"/>
  <c r="I241" i="9" s="1"/>
  <c r="H242" i="9"/>
  <c r="I242" i="9" s="1"/>
  <c r="H243" i="9"/>
  <c r="I243" i="9" s="1"/>
  <c r="H244" i="9"/>
  <c r="I244" i="9" s="1"/>
  <c r="H245" i="9"/>
  <c r="I245" i="9" s="1"/>
  <c r="H246" i="9"/>
  <c r="I246" i="9" s="1"/>
  <c r="H247" i="9"/>
  <c r="I247" i="9" s="1"/>
  <c r="H248" i="9"/>
  <c r="I248" i="9" s="1"/>
  <c r="H249" i="9"/>
  <c r="I249" i="9" s="1"/>
  <c r="H250" i="9"/>
  <c r="I250" i="9" s="1"/>
  <c r="H251" i="9"/>
  <c r="I251" i="9" s="1"/>
  <c r="H252" i="9"/>
  <c r="I252" i="9" s="1"/>
  <c r="H253" i="9"/>
  <c r="I253" i="9" s="1"/>
  <c r="H254" i="9"/>
  <c r="I254" i="9" s="1"/>
  <c r="H255" i="9"/>
  <c r="I255" i="9" s="1"/>
  <c r="H256" i="9"/>
  <c r="I256" i="9" s="1"/>
  <c r="H257" i="9"/>
  <c r="I257" i="9" s="1"/>
  <c r="H258" i="9"/>
  <c r="I258" i="9" s="1"/>
  <c r="H259" i="9"/>
  <c r="I259" i="9" s="1"/>
  <c r="H260" i="9"/>
  <c r="I260" i="9" s="1"/>
  <c r="H261" i="9"/>
  <c r="I261" i="9" s="1"/>
  <c r="H262" i="9"/>
  <c r="I262" i="9" s="1"/>
  <c r="H263" i="9"/>
  <c r="I263" i="9" s="1"/>
  <c r="H264" i="9"/>
  <c r="I264" i="9" s="1"/>
  <c r="H265" i="9"/>
  <c r="I265" i="9" s="1"/>
  <c r="H266" i="9"/>
  <c r="I266" i="9" s="1"/>
  <c r="H267" i="9"/>
  <c r="I267" i="9" s="1"/>
  <c r="H268" i="9"/>
  <c r="I268" i="9" s="1"/>
  <c r="H269" i="9"/>
  <c r="I269" i="9" s="1"/>
  <c r="H270" i="9"/>
  <c r="I270" i="9" s="1"/>
  <c r="H271" i="9"/>
  <c r="I271" i="9" s="1"/>
  <c r="H272" i="9"/>
  <c r="I272" i="9" s="1"/>
  <c r="H273" i="9"/>
  <c r="I273" i="9" s="1"/>
  <c r="H274" i="9"/>
  <c r="I274" i="9" s="1"/>
  <c r="H275" i="9"/>
  <c r="I275" i="9" s="1"/>
  <c r="H276" i="9"/>
  <c r="I276" i="9" s="1"/>
  <c r="H277" i="9"/>
  <c r="I277" i="9" s="1"/>
  <c r="H278" i="9"/>
  <c r="I278" i="9" s="1"/>
  <c r="H279" i="9"/>
  <c r="I279" i="9" s="1"/>
  <c r="H280" i="9"/>
  <c r="I280" i="9" s="1"/>
  <c r="H281" i="9"/>
  <c r="I281" i="9" s="1"/>
  <c r="H282" i="9"/>
  <c r="I282" i="9" s="1"/>
  <c r="H283" i="9"/>
  <c r="I283" i="9" s="1"/>
  <c r="H284" i="9"/>
  <c r="I284" i="9" s="1"/>
  <c r="H285" i="9"/>
  <c r="I285" i="9" s="1"/>
  <c r="H286" i="9"/>
  <c r="I286" i="9" s="1"/>
  <c r="H287" i="9"/>
  <c r="I287" i="9" s="1"/>
  <c r="H288" i="9"/>
  <c r="I288" i="9" s="1"/>
  <c r="H289" i="9"/>
  <c r="I289" i="9" s="1"/>
  <c r="H290" i="9"/>
  <c r="I290" i="9" s="1"/>
  <c r="H291" i="9"/>
  <c r="I291" i="9" s="1"/>
  <c r="H292" i="9"/>
  <c r="I292" i="9" s="1"/>
  <c r="H293" i="9"/>
  <c r="I293" i="9" s="1"/>
  <c r="H294" i="9"/>
  <c r="I294" i="9" s="1"/>
  <c r="H295" i="9"/>
  <c r="I295" i="9" s="1"/>
  <c r="H296" i="9"/>
  <c r="I296" i="9" s="1"/>
  <c r="H297" i="9"/>
  <c r="I297" i="9" s="1"/>
  <c r="H298" i="9"/>
  <c r="I298" i="9" s="1"/>
  <c r="H299" i="9"/>
  <c r="I299" i="9" s="1"/>
  <c r="H300" i="9"/>
  <c r="I300" i="9" s="1"/>
  <c r="H301" i="9"/>
  <c r="I301" i="9" s="1"/>
  <c r="H302" i="9"/>
  <c r="I302" i="9" s="1"/>
  <c r="H303" i="9"/>
  <c r="H304" i="9"/>
  <c r="I304" i="9" s="1"/>
  <c r="H305" i="9"/>
  <c r="I305" i="9" s="1"/>
  <c r="H306" i="9"/>
  <c r="I306" i="9" s="1"/>
  <c r="H307" i="9"/>
  <c r="I307" i="9" s="1"/>
  <c r="H308" i="9"/>
  <c r="I308" i="9" s="1"/>
  <c r="H309" i="9"/>
  <c r="I309" i="9" s="1"/>
  <c r="H310" i="9"/>
  <c r="I310" i="9" s="1"/>
  <c r="H311" i="9"/>
  <c r="I311" i="9" s="1"/>
  <c r="H312" i="9"/>
  <c r="I312" i="9" s="1"/>
  <c r="H313" i="9"/>
  <c r="I313" i="9" s="1"/>
  <c r="H314" i="9"/>
  <c r="I314" i="9" s="1"/>
  <c r="H315" i="9"/>
  <c r="I315" i="9" s="1"/>
  <c r="H316" i="9"/>
  <c r="I316" i="9" s="1"/>
  <c r="H317" i="9"/>
  <c r="I317" i="9" s="1"/>
  <c r="H318" i="9"/>
  <c r="I318" i="9" s="1"/>
  <c r="H319" i="9"/>
  <c r="I319" i="9" s="1"/>
  <c r="H320" i="9"/>
  <c r="I320" i="9" s="1"/>
  <c r="H321" i="9"/>
  <c r="I321" i="9" s="1"/>
  <c r="H322" i="9"/>
  <c r="I322" i="9" s="1"/>
  <c r="H323" i="9"/>
  <c r="H324" i="9"/>
  <c r="H325" i="9"/>
  <c r="I325" i="9" s="1"/>
  <c r="H326" i="9"/>
  <c r="I326" i="9" s="1"/>
  <c r="H327" i="9"/>
  <c r="H328" i="9"/>
  <c r="I328" i="9" s="1"/>
  <c r="H329" i="9"/>
  <c r="I329" i="9" s="1"/>
  <c r="H330" i="9"/>
  <c r="I330" i="9" s="1"/>
  <c r="H331" i="9"/>
  <c r="I331" i="9" s="1"/>
  <c r="H332" i="9"/>
  <c r="I332" i="9" s="1"/>
  <c r="H333" i="9"/>
  <c r="I333" i="9" s="1"/>
  <c r="H334" i="9"/>
  <c r="I334" i="9" s="1"/>
  <c r="H335" i="9"/>
  <c r="I335" i="9" s="1"/>
  <c r="H336" i="9"/>
  <c r="I336" i="9" s="1"/>
  <c r="H337" i="9"/>
  <c r="I337" i="9" s="1"/>
  <c r="H338" i="9"/>
  <c r="I338" i="9" s="1"/>
  <c r="H339" i="9"/>
  <c r="I339" i="9" s="1"/>
  <c r="H340" i="9"/>
  <c r="I340" i="9" s="1"/>
  <c r="H341" i="9"/>
  <c r="I341" i="9" s="1"/>
  <c r="H342" i="9"/>
  <c r="I342" i="9" s="1"/>
  <c r="H343" i="9"/>
  <c r="I343" i="9" s="1"/>
  <c r="H344" i="9"/>
  <c r="I344" i="9" s="1"/>
  <c r="H345" i="9"/>
  <c r="I345" i="9" s="1"/>
  <c r="H346" i="9"/>
  <c r="I346" i="9" s="1"/>
  <c r="H347" i="9"/>
  <c r="I347" i="9" s="1"/>
  <c r="H348" i="9"/>
  <c r="I348" i="9" s="1"/>
  <c r="H349" i="9"/>
  <c r="I349" i="9" s="1"/>
  <c r="H350" i="9"/>
  <c r="I350" i="9" s="1"/>
  <c r="H351" i="9"/>
  <c r="I351" i="9" s="1"/>
  <c r="H352" i="9"/>
  <c r="I352" i="9" s="1"/>
  <c r="H353" i="9"/>
  <c r="I353" i="9" s="1"/>
  <c r="H354" i="9"/>
  <c r="I354" i="9" s="1"/>
  <c r="H355" i="9"/>
  <c r="I355" i="9" s="1"/>
  <c r="H356" i="9"/>
  <c r="I356" i="9" s="1"/>
  <c r="H357" i="9"/>
  <c r="I357" i="9" s="1"/>
  <c r="H358" i="9"/>
  <c r="I358" i="9" s="1"/>
  <c r="H359" i="9"/>
  <c r="I359" i="9" s="1"/>
  <c r="H360" i="9"/>
  <c r="I360" i="9" s="1"/>
  <c r="H361" i="9"/>
  <c r="I361" i="9" s="1"/>
  <c r="H362" i="9"/>
  <c r="I362" i="9" s="1"/>
  <c r="H363" i="9"/>
  <c r="I363" i="9" s="1"/>
  <c r="H364" i="9"/>
  <c r="I364" i="9" s="1"/>
  <c r="H365" i="9"/>
  <c r="I365" i="9" s="1"/>
  <c r="H366" i="9"/>
  <c r="I366" i="9" s="1"/>
  <c r="H367" i="9"/>
  <c r="I367" i="9" s="1"/>
  <c r="H368" i="9"/>
  <c r="I368" i="9" s="1"/>
  <c r="H369" i="9"/>
  <c r="I369" i="9" s="1"/>
  <c r="H370" i="9"/>
  <c r="H371" i="9"/>
  <c r="H372" i="9"/>
  <c r="I372" i="9" s="1"/>
  <c r="H373" i="9"/>
  <c r="I373" i="9" s="1"/>
  <c r="H374" i="9"/>
  <c r="H375" i="9"/>
  <c r="I375" i="9" s="1"/>
  <c r="H376" i="9"/>
  <c r="I376" i="9" s="1"/>
  <c r="H377" i="9"/>
  <c r="I377" i="9" s="1"/>
  <c r="H378" i="9"/>
  <c r="I378" i="9" s="1"/>
  <c r="H379" i="9"/>
  <c r="I379" i="9" s="1"/>
  <c r="H380" i="9"/>
  <c r="I380" i="9" s="1"/>
  <c r="H381" i="9"/>
  <c r="I381" i="9" s="1"/>
  <c r="H382" i="9"/>
  <c r="I382" i="9" s="1"/>
  <c r="H383" i="9"/>
  <c r="I383" i="9" s="1"/>
  <c r="H384" i="9"/>
  <c r="I384" i="9" s="1"/>
  <c r="H385" i="9"/>
  <c r="I385" i="9" s="1"/>
  <c r="H386" i="9"/>
  <c r="I386" i="9" s="1"/>
  <c r="H387" i="9"/>
  <c r="I387" i="9" s="1"/>
  <c r="H388" i="9"/>
  <c r="I388" i="9" s="1"/>
  <c r="H389" i="9"/>
  <c r="I389" i="9" s="1"/>
  <c r="H390" i="9"/>
  <c r="I390" i="9" s="1"/>
  <c r="H391" i="9"/>
  <c r="I391" i="9" s="1"/>
  <c r="H392" i="9"/>
  <c r="I392" i="9" s="1"/>
  <c r="H393" i="9"/>
  <c r="I393" i="9" s="1"/>
  <c r="H394" i="9"/>
  <c r="I394" i="9" s="1"/>
  <c r="H395" i="9"/>
  <c r="H396" i="9"/>
  <c r="H397" i="9"/>
  <c r="H398" i="9"/>
  <c r="I398" i="9" s="1"/>
  <c r="H399" i="9"/>
  <c r="I399" i="9" s="1"/>
  <c r="H400" i="9"/>
  <c r="I400" i="9" s="1"/>
  <c r="H401" i="9"/>
  <c r="I401" i="9" s="1"/>
  <c r="H402" i="9"/>
  <c r="I402" i="9" s="1"/>
  <c r="H403" i="9"/>
  <c r="I403" i="9" s="1"/>
  <c r="H404" i="9"/>
  <c r="I404" i="9" s="1"/>
  <c r="H405" i="9"/>
  <c r="I405" i="9" s="1"/>
  <c r="H406" i="9"/>
  <c r="I406" i="9" s="1"/>
  <c r="H407" i="9"/>
  <c r="I407" i="9" s="1"/>
  <c r="H408" i="9"/>
  <c r="I408" i="9" s="1"/>
  <c r="H409" i="9"/>
  <c r="I409" i="9" s="1"/>
  <c r="H410" i="9"/>
  <c r="I410" i="9" s="1"/>
  <c r="H411" i="9"/>
  <c r="I411" i="9" s="1"/>
  <c r="H412" i="9"/>
  <c r="I412" i="9" s="1"/>
  <c r="H413" i="9"/>
  <c r="I413" i="9" s="1"/>
  <c r="H414" i="9"/>
  <c r="I414" i="9" s="1"/>
  <c r="H415" i="9"/>
  <c r="H416" i="9"/>
  <c r="H417" i="9"/>
  <c r="I417" i="9" s="1"/>
  <c r="H418" i="9"/>
  <c r="I418" i="9" s="1"/>
  <c r="H419" i="9"/>
  <c r="H420" i="9"/>
  <c r="I420" i="9" s="1"/>
  <c r="H421" i="9"/>
  <c r="I421" i="9" s="1"/>
  <c r="H422" i="9"/>
  <c r="I422" i="9" s="1"/>
  <c r="H423" i="9"/>
  <c r="I423" i="9" s="1"/>
  <c r="H424" i="9"/>
  <c r="I424" i="9" s="1"/>
  <c r="H425" i="9"/>
  <c r="I425" i="9" s="1"/>
  <c r="H426" i="9"/>
  <c r="I426" i="9" s="1"/>
  <c r="H427" i="9"/>
  <c r="I427" i="9" s="1"/>
  <c r="H428" i="9"/>
  <c r="I428" i="9" s="1"/>
  <c r="H429" i="9"/>
  <c r="I429" i="9" s="1"/>
  <c r="H430" i="9"/>
  <c r="I430" i="9" s="1"/>
  <c r="H431" i="9"/>
  <c r="I431" i="9" s="1"/>
  <c r="H432" i="9"/>
  <c r="I432" i="9" s="1"/>
  <c r="H433" i="9"/>
  <c r="I433" i="9" s="1"/>
  <c r="H2" i="9"/>
  <c r="I2" i="9" s="1"/>
  <c r="A3" i="5"/>
  <c r="A4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2" i="3"/>
  <c r="B17" i="11"/>
  <c r="B16" i="11"/>
  <c r="B11" i="11"/>
  <c r="B8" i="11"/>
  <c r="B7" i="11"/>
  <c r="B3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B3" i="2"/>
  <c r="G3" i="2" s="1"/>
  <c r="B4" i="2"/>
  <c r="G4" i="2" s="1"/>
  <c r="B5" i="2"/>
  <c r="G5" i="2" s="1"/>
  <c r="B6" i="2"/>
  <c r="G6" i="2" s="1"/>
  <c r="B7" i="2"/>
  <c r="G7" i="2" s="1"/>
  <c r="B8" i="2"/>
  <c r="G8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6" i="2"/>
  <c r="G16" i="2" s="1"/>
  <c r="B17" i="2"/>
  <c r="G17" i="2" s="1"/>
  <c r="B18" i="2"/>
  <c r="G18" i="2" s="1"/>
  <c r="B19" i="2"/>
  <c r="G19" i="2" s="1"/>
  <c r="B20" i="2"/>
  <c r="G20" i="2" s="1"/>
  <c r="B21" i="2"/>
  <c r="G21" i="2" s="1"/>
  <c r="B22" i="2"/>
  <c r="G22" i="2" s="1"/>
  <c r="B23" i="2"/>
  <c r="G23" i="2" s="1"/>
  <c r="B24" i="2"/>
  <c r="G24" i="2" s="1"/>
  <c r="B25" i="2"/>
  <c r="G25" i="2" s="1"/>
  <c r="B26" i="2"/>
  <c r="G26" i="2" s="1"/>
  <c r="B27" i="2"/>
  <c r="G27" i="2" s="1"/>
  <c r="B28" i="2"/>
  <c r="G28" i="2" s="1"/>
  <c r="B29" i="2"/>
  <c r="G29" i="2" s="1"/>
  <c r="B30" i="2"/>
  <c r="G30" i="2" s="1"/>
  <c r="B31" i="2"/>
  <c r="G31" i="2" s="1"/>
  <c r="B32" i="2"/>
  <c r="G32" i="2" s="1"/>
  <c r="B33" i="2"/>
  <c r="G33" i="2" s="1"/>
  <c r="B34" i="2"/>
  <c r="G34" i="2" s="1"/>
  <c r="B35" i="2"/>
  <c r="G35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55" i="2"/>
  <c r="G55" i="2" s="1"/>
  <c r="B56" i="2"/>
  <c r="G56" i="2" s="1"/>
  <c r="B57" i="2"/>
  <c r="G57" i="2" s="1"/>
  <c r="B58" i="2"/>
  <c r="G58" i="2" s="1"/>
  <c r="B59" i="2"/>
  <c r="G59" i="2" s="1"/>
  <c r="B60" i="2"/>
  <c r="G60" i="2" s="1"/>
  <c r="B61" i="2"/>
  <c r="G61" i="2" s="1"/>
  <c r="B62" i="2"/>
  <c r="G62" i="2" s="1"/>
  <c r="B63" i="2"/>
  <c r="G63" i="2" s="1"/>
  <c r="B64" i="2"/>
  <c r="G64" i="2" s="1"/>
  <c r="B65" i="2"/>
  <c r="G65" i="2" s="1"/>
  <c r="B66" i="2"/>
  <c r="G66" i="2" s="1"/>
  <c r="B67" i="2"/>
  <c r="G67" i="2" s="1"/>
  <c r="B68" i="2"/>
  <c r="G68" i="2" s="1"/>
  <c r="B69" i="2"/>
  <c r="G69" i="2" s="1"/>
  <c r="B70" i="2"/>
  <c r="G70" i="2" s="1"/>
  <c r="B71" i="2"/>
  <c r="G71" i="2" s="1"/>
  <c r="B72" i="2"/>
  <c r="G72" i="2" s="1"/>
  <c r="B73" i="2"/>
  <c r="G73" i="2" s="1"/>
  <c r="B74" i="2"/>
  <c r="G74" i="2" s="1"/>
  <c r="B75" i="2"/>
  <c r="G75" i="2" s="1"/>
  <c r="B76" i="2"/>
  <c r="G76" i="2" s="1"/>
  <c r="B77" i="2"/>
  <c r="G77" i="2" s="1"/>
  <c r="B78" i="2"/>
  <c r="G78" i="2" s="1"/>
  <c r="B79" i="2"/>
  <c r="G79" i="2" s="1"/>
  <c r="B80" i="2"/>
  <c r="G80" i="2" s="1"/>
  <c r="B81" i="2"/>
  <c r="G81" i="2" s="1"/>
  <c r="B82" i="2"/>
  <c r="G82" i="2" s="1"/>
  <c r="B83" i="2"/>
  <c r="G83" i="2" s="1"/>
  <c r="B84" i="2"/>
  <c r="G84" i="2" s="1"/>
  <c r="B85" i="2"/>
  <c r="G85" i="2" s="1"/>
  <c r="B86" i="2"/>
  <c r="G86" i="2" s="1"/>
  <c r="B87" i="2"/>
  <c r="G87" i="2" s="1"/>
  <c r="B88" i="2"/>
  <c r="G88" i="2" s="1"/>
  <c r="B89" i="2"/>
  <c r="G89" i="2" s="1"/>
  <c r="B90" i="2"/>
  <c r="G90" i="2" s="1"/>
  <c r="B91" i="2"/>
  <c r="G91" i="2" s="1"/>
  <c r="B92" i="2"/>
  <c r="G92" i="2" s="1"/>
  <c r="B93" i="2"/>
  <c r="G93" i="2" s="1"/>
  <c r="B94" i="2"/>
  <c r="G94" i="2" s="1"/>
  <c r="B95" i="2"/>
  <c r="G95" i="2" s="1"/>
  <c r="B96" i="2"/>
  <c r="G96" i="2" s="1"/>
  <c r="B97" i="2"/>
  <c r="G97" i="2" s="1"/>
  <c r="B98" i="2"/>
  <c r="G98" i="2" s="1"/>
  <c r="B99" i="2"/>
  <c r="G99" i="2" s="1"/>
  <c r="B100" i="2"/>
  <c r="G100" i="2" s="1"/>
  <c r="B101" i="2"/>
  <c r="G101" i="2" s="1"/>
  <c r="B102" i="2"/>
  <c r="G102" i="2" s="1"/>
  <c r="B103" i="2"/>
  <c r="G103" i="2" s="1"/>
  <c r="B104" i="2"/>
  <c r="G104" i="2" s="1"/>
  <c r="B105" i="2"/>
  <c r="G105" i="2" s="1"/>
  <c r="B106" i="2"/>
  <c r="G106" i="2" s="1"/>
  <c r="B107" i="2"/>
  <c r="G107" i="2" s="1"/>
  <c r="B108" i="2"/>
  <c r="G108" i="2" s="1"/>
  <c r="B109" i="2"/>
  <c r="G109" i="2" s="1"/>
  <c r="B110" i="2"/>
  <c r="G110" i="2" s="1"/>
  <c r="B111" i="2"/>
  <c r="G111" i="2" s="1"/>
  <c r="B112" i="2"/>
  <c r="G112" i="2" s="1"/>
  <c r="B113" i="2"/>
  <c r="G113" i="2" s="1"/>
  <c r="B114" i="2"/>
  <c r="G114" i="2" s="1"/>
  <c r="B115" i="2"/>
  <c r="G115" i="2" s="1"/>
  <c r="B116" i="2"/>
  <c r="G116" i="2" s="1"/>
  <c r="B117" i="2"/>
  <c r="G117" i="2" s="1"/>
  <c r="B118" i="2"/>
  <c r="G118" i="2" s="1"/>
  <c r="B119" i="2"/>
  <c r="G119" i="2" s="1"/>
  <c r="B120" i="2"/>
  <c r="G120" i="2" s="1"/>
  <c r="B121" i="2"/>
  <c r="G121" i="2" s="1"/>
  <c r="B122" i="2"/>
  <c r="G122" i="2" s="1"/>
  <c r="B123" i="2"/>
  <c r="G123" i="2" s="1"/>
  <c r="B124" i="2"/>
  <c r="G124" i="2" s="1"/>
  <c r="B125" i="2"/>
  <c r="G125" i="2" s="1"/>
  <c r="B126" i="2"/>
  <c r="G126" i="2" s="1"/>
  <c r="B127" i="2"/>
  <c r="G127" i="2" s="1"/>
  <c r="B128" i="2"/>
  <c r="G128" i="2" s="1"/>
  <c r="B129" i="2"/>
  <c r="G129" i="2" s="1"/>
  <c r="B130" i="2"/>
  <c r="G130" i="2" s="1"/>
  <c r="B131" i="2"/>
  <c r="G131" i="2" s="1"/>
  <c r="B132" i="2"/>
  <c r="G132" i="2" s="1"/>
  <c r="B133" i="2"/>
  <c r="G133" i="2" s="1"/>
  <c r="B134" i="2"/>
  <c r="G134" i="2" s="1"/>
  <c r="B135" i="2"/>
  <c r="G135" i="2" s="1"/>
  <c r="B136" i="2"/>
  <c r="G136" i="2" s="1"/>
  <c r="B137" i="2"/>
  <c r="G137" i="2" s="1"/>
  <c r="B138" i="2"/>
  <c r="G138" i="2" s="1"/>
  <c r="B139" i="2"/>
  <c r="G139" i="2" s="1"/>
  <c r="B140" i="2"/>
  <c r="G140" i="2" s="1"/>
  <c r="B141" i="2"/>
  <c r="G141" i="2" s="1"/>
  <c r="B142" i="2"/>
  <c r="G142" i="2" s="1"/>
  <c r="B143" i="2"/>
  <c r="G143" i="2" s="1"/>
  <c r="B144" i="2"/>
  <c r="G144" i="2" s="1"/>
  <c r="B145" i="2"/>
  <c r="G145" i="2" s="1"/>
  <c r="B146" i="2"/>
  <c r="G146" i="2" s="1"/>
  <c r="B147" i="2"/>
  <c r="G147" i="2" s="1"/>
  <c r="B148" i="2"/>
  <c r="G148" i="2" s="1"/>
  <c r="B149" i="2"/>
  <c r="G149" i="2" s="1"/>
  <c r="B150" i="2"/>
  <c r="G150" i="2" s="1"/>
  <c r="B151" i="2"/>
  <c r="G151" i="2" s="1"/>
  <c r="B152" i="2"/>
  <c r="G152" i="2" s="1"/>
  <c r="B153" i="2"/>
  <c r="G153" i="2" s="1"/>
  <c r="B154" i="2"/>
  <c r="G154" i="2" s="1"/>
  <c r="B155" i="2"/>
  <c r="G155" i="2" s="1"/>
  <c r="B156" i="2"/>
  <c r="G156" i="2" s="1"/>
  <c r="B157" i="2"/>
  <c r="G157" i="2" s="1"/>
  <c r="B158" i="2"/>
  <c r="G158" i="2" s="1"/>
  <c r="B159" i="2"/>
  <c r="G159" i="2" s="1"/>
  <c r="B160" i="2"/>
  <c r="G160" i="2" s="1"/>
  <c r="B161" i="2"/>
  <c r="G161" i="2" s="1"/>
  <c r="B162" i="2"/>
  <c r="G162" i="2" s="1"/>
  <c r="B163" i="2"/>
  <c r="G163" i="2" s="1"/>
  <c r="B164" i="2"/>
  <c r="G164" i="2" s="1"/>
  <c r="B165" i="2"/>
  <c r="G165" i="2" s="1"/>
  <c r="B166" i="2"/>
  <c r="G166" i="2" s="1"/>
  <c r="B167" i="2"/>
  <c r="G167" i="2" s="1"/>
  <c r="B168" i="2"/>
  <c r="G168" i="2" s="1"/>
  <c r="B169" i="2"/>
  <c r="G169" i="2" s="1"/>
  <c r="B170" i="2"/>
  <c r="G170" i="2" s="1"/>
  <c r="B171" i="2"/>
  <c r="G171" i="2" s="1"/>
  <c r="B172" i="2"/>
  <c r="G172" i="2" s="1"/>
  <c r="B173" i="2"/>
  <c r="G173" i="2" s="1"/>
  <c r="B174" i="2"/>
  <c r="G174" i="2" s="1"/>
  <c r="B175" i="2"/>
  <c r="G175" i="2" s="1"/>
  <c r="B176" i="2"/>
  <c r="G176" i="2" s="1"/>
  <c r="B177" i="2"/>
  <c r="G177" i="2" s="1"/>
  <c r="B178" i="2"/>
  <c r="G178" i="2" s="1"/>
  <c r="B179" i="2"/>
  <c r="G179" i="2" s="1"/>
  <c r="B180" i="2"/>
  <c r="G180" i="2" s="1"/>
  <c r="B181" i="2"/>
  <c r="G181" i="2" s="1"/>
  <c r="B182" i="2"/>
  <c r="G182" i="2" s="1"/>
  <c r="B183" i="2"/>
  <c r="G183" i="2" s="1"/>
  <c r="B184" i="2"/>
  <c r="G184" i="2" s="1"/>
  <c r="B185" i="2"/>
  <c r="G185" i="2" s="1"/>
  <c r="B186" i="2"/>
  <c r="G186" i="2" s="1"/>
  <c r="B187" i="2"/>
  <c r="G187" i="2" s="1"/>
  <c r="B188" i="2"/>
  <c r="G188" i="2" s="1"/>
  <c r="B189" i="2"/>
  <c r="G189" i="2" s="1"/>
  <c r="B190" i="2"/>
  <c r="G190" i="2" s="1"/>
  <c r="B191" i="2"/>
  <c r="G191" i="2" s="1"/>
  <c r="B192" i="2"/>
  <c r="G192" i="2" s="1"/>
  <c r="B193" i="2"/>
  <c r="G193" i="2" s="1"/>
  <c r="B194" i="2"/>
  <c r="G194" i="2" s="1"/>
  <c r="B195" i="2"/>
  <c r="G195" i="2" s="1"/>
  <c r="B196" i="2"/>
  <c r="G196" i="2" s="1"/>
  <c r="B197" i="2"/>
  <c r="G197" i="2" s="1"/>
  <c r="B198" i="2"/>
  <c r="G198" i="2" s="1"/>
  <c r="B199" i="2"/>
  <c r="G199" i="2" s="1"/>
  <c r="B200" i="2"/>
  <c r="G200" i="2" s="1"/>
  <c r="B201" i="2"/>
  <c r="G201" i="2" s="1"/>
  <c r="B202" i="2"/>
  <c r="G202" i="2" s="1"/>
  <c r="B203" i="2"/>
  <c r="G203" i="2" s="1"/>
  <c r="B204" i="2"/>
  <c r="G204" i="2" s="1"/>
  <c r="B205" i="2"/>
  <c r="G205" i="2" s="1"/>
  <c r="B206" i="2"/>
  <c r="G206" i="2" s="1"/>
  <c r="B207" i="2"/>
  <c r="G207" i="2" s="1"/>
  <c r="B208" i="2"/>
  <c r="G208" i="2" s="1"/>
  <c r="B209" i="2"/>
  <c r="G209" i="2" s="1"/>
  <c r="B210" i="2"/>
  <c r="G210" i="2" s="1"/>
  <c r="B211" i="2"/>
  <c r="G211" i="2" s="1"/>
  <c r="B212" i="2"/>
  <c r="G212" i="2" s="1"/>
  <c r="B213" i="2"/>
  <c r="G213" i="2" s="1"/>
  <c r="B214" i="2"/>
  <c r="G214" i="2" s="1"/>
  <c r="B215" i="2"/>
  <c r="G215" i="2" s="1"/>
  <c r="B216" i="2"/>
  <c r="G216" i="2" s="1"/>
  <c r="B217" i="2"/>
  <c r="G217" i="2" s="1"/>
  <c r="B218" i="2"/>
  <c r="G218" i="2" s="1"/>
  <c r="B219" i="2"/>
  <c r="G219" i="2" s="1"/>
  <c r="B220" i="2"/>
  <c r="G220" i="2" s="1"/>
  <c r="B221" i="2"/>
  <c r="G221" i="2" s="1"/>
  <c r="B222" i="2"/>
  <c r="G222" i="2" s="1"/>
  <c r="B223" i="2"/>
  <c r="G223" i="2" s="1"/>
  <c r="B224" i="2"/>
  <c r="G224" i="2" s="1"/>
  <c r="B225" i="2"/>
  <c r="G225" i="2" s="1"/>
  <c r="B226" i="2"/>
  <c r="G226" i="2" s="1"/>
  <c r="B227" i="2"/>
  <c r="G227" i="2" s="1"/>
  <c r="B228" i="2"/>
  <c r="G228" i="2" s="1"/>
  <c r="B229" i="2"/>
  <c r="G229" i="2" s="1"/>
  <c r="B230" i="2"/>
  <c r="G230" i="2" s="1"/>
  <c r="B231" i="2"/>
  <c r="G231" i="2" s="1"/>
  <c r="B232" i="2"/>
  <c r="G232" i="2" s="1"/>
  <c r="B233" i="2"/>
  <c r="G233" i="2" s="1"/>
  <c r="B234" i="2"/>
  <c r="G234" i="2" s="1"/>
  <c r="B235" i="2"/>
  <c r="G235" i="2" s="1"/>
  <c r="B236" i="2"/>
  <c r="G236" i="2" s="1"/>
  <c r="B237" i="2"/>
  <c r="G237" i="2" s="1"/>
  <c r="B238" i="2"/>
  <c r="G238" i="2" s="1"/>
  <c r="B239" i="2"/>
  <c r="G239" i="2" s="1"/>
  <c r="B240" i="2"/>
  <c r="G240" i="2" s="1"/>
  <c r="B241" i="2"/>
  <c r="G241" i="2" s="1"/>
  <c r="B242" i="2"/>
  <c r="G242" i="2" s="1"/>
  <c r="B243" i="2"/>
  <c r="G243" i="2" s="1"/>
  <c r="B244" i="2"/>
  <c r="G244" i="2" s="1"/>
  <c r="B245" i="2"/>
  <c r="G245" i="2" s="1"/>
  <c r="B246" i="2"/>
  <c r="G246" i="2" s="1"/>
  <c r="B247" i="2"/>
  <c r="G247" i="2" s="1"/>
  <c r="B248" i="2"/>
  <c r="G248" i="2" s="1"/>
  <c r="B249" i="2"/>
  <c r="G249" i="2" s="1"/>
  <c r="B250" i="2"/>
  <c r="G250" i="2" s="1"/>
  <c r="B251" i="2"/>
  <c r="G251" i="2" s="1"/>
  <c r="B252" i="2"/>
  <c r="G252" i="2" s="1"/>
  <c r="B253" i="2"/>
  <c r="G253" i="2" s="1"/>
  <c r="B254" i="2"/>
  <c r="G254" i="2" s="1"/>
  <c r="B255" i="2"/>
  <c r="G255" i="2" s="1"/>
  <c r="B256" i="2"/>
  <c r="G256" i="2" s="1"/>
  <c r="B257" i="2"/>
  <c r="G257" i="2" s="1"/>
  <c r="B258" i="2"/>
  <c r="G258" i="2" s="1"/>
  <c r="B259" i="2"/>
  <c r="G259" i="2" s="1"/>
  <c r="B260" i="2"/>
  <c r="G260" i="2" s="1"/>
  <c r="B261" i="2"/>
  <c r="G261" i="2" s="1"/>
  <c r="B262" i="2"/>
  <c r="G262" i="2" s="1"/>
  <c r="B263" i="2"/>
  <c r="G263" i="2" s="1"/>
  <c r="B264" i="2"/>
  <c r="G264" i="2" s="1"/>
  <c r="B265" i="2"/>
  <c r="G265" i="2" s="1"/>
  <c r="B266" i="2"/>
  <c r="G266" i="2" s="1"/>
  <c r="B267" i="2"/>
  <c r="G267" i="2" s="1"/>
  <c r="B268" i="2"/>
  <c r="G268" i="2" s="1"/>
  <c r="B269" i="2"/>
  <c r="G269" i="2" s="1"/>
  <c r="B270" i="2"/>
  <c r="G270" i="2" s="1"/>
  <c r="B271" i="2"/>
  <c r="G271" i="2" s="1"/>
  <c r="B272" i="2"/>
  <c r="G272" i="2" s="1"/>
  <c r="B273" i="2"/>
  <c r="G273" i="2" s="1"/>
  <c r="B274" i="2"/>
  <c r="G274" i="2" s="1"/>
  <c r="B275" i="2"/>
  <c r="G275" i="2" s="1"/>
  <c r="B276" i="2"/>
  <c r="G276" i="2" s="1"/>
  <c r="B277" i="2"/>
  <c r="G277" i="2" s="1"/>
  <c r="B278" i="2"/>
  <c r="G278" i="2" s="1"/>
  <c r="B279" i="2"/>
  <c r="G279" i="2" s="1"/>
  <c r="B280" i="2"/>
  <c r="G280" i="2" s="1"/>
  <c r="B281" i="2"/>
  <c r="G281" i="2" s="1"/>
  <c r="B282" i="2"/>
  <c r="G282" i="2" s="1"/>
  <c r="B283" i="2"/>
  <c r="G283" i="2" s="1"/>
  <c r="B284" i="2"/>
  <c r="G284" i="2" s="1"/>
  <c r="B285" i="2"/>
  <c r="G285" i="2" s="1"/>
  <c r="B286" i="2"/>
  <c r="G286" i="2" s="1"/>
  <c r="B287" i="2"/>
  <c r="G287" i="2" s="1"/>
  <c r="B288" i="2"/>
  <c r="G288" i="2" s="1"/>
  <c r="B289" i="2"/>
  <c r="G289" i="2" s="1"/>
  <c r="B290" i="2"/>
  <c r="G290" i="2" s="1"/>
  <c r="B291" i="2"/>
  <c r="G291" i="2" s="1"/>
  <c r="B292" i="2"/>
  <c r="G292" i="2" s="1"/>
  <c r="B293" i="2"/>
  <c r="G293" i="2" s="1"/>
  <c r="B294" i="2"/>
  <c r="G294" i="2" s="1"/>
  <c r="B295" i="2"/>
  <c r="G295" i="2" s="1"/>
  <c r="B296" i="2"/>
  <c r="G296" i="2" s="1"/>
  <c r="B297" i="2"/>
  <c r="G297" i="2" s="1"/>
  <c r="B298" i="2"/>
  <c r="G298" i="2" s="1"/>
  <c r="B299" i="2"/>
  <c r="G299" i="2" s="1"/>
  <c r="B300" i="2"/>
  <c r="G300" i="2" s="1"/>
  <c r="B301" i="2"/>
  <c r="G301" i="2" s="1"/>
  <c r="B302" i="2"/>
  <c r="G302" i="2" s="1"/>
  <c r="B303" i="2"/>
  <c r="G303" i="2" s="1"/>
  <c r="B304" i="2"/>
  <c r="G304" i="2" s="1"/>
  <c r="B305" i="2"/>
  <c r="G305" i="2" s="1"/>
  <c r="B306" i="2"/>
  <c r="G306" i="2" s="1"/>
  <c r="B307" i="2"/>
  <c r="G307" i="2" s="1"/>
  <c r="B308" i="2"/>
  <c r="G308" i="2" s="1"/>
  <c r="B309" i="2"/>
  <c r="G309" i="2" s="1"/>
  <c r="B310" i="2"/>
  <c r="G310" i="2" s="1"/>
  <c r="B311" i="2"/>
  <c r="G311" i="2" s="1"/>
  <c r="B312" i="2"/>
  <c r="G312" i="2" s="1"/>
  <c r="B313" i="2"/>
  <c r="G313" i="2" s="1"/>
  <c r="B314" i="2"/>
  <c r="G314" i="2" s="1"/>
  <c r="B315" i="2"/>
  <c r="G315" i="2" s="1"/>
  <c r="B316" i="2"/>
  <c r="G316" i="2" s="1"/>
  <c r="B317" i="2"/>
  <c r="G317" i="2" s="1"/>
  <c r="B318" i="2"/>
  <c r="G318" i="2" s="1"/>
  <c r="B319" i="2"/>
  <c r="G319" i="2" s="1"/>
  <c r="B320" i="2"/>
  <c r="G320" i="2" s="1"/>
  <c r="B321" i="2"/>
  <c r="G321" i="2" s="1"/>
  <c r="B322" i="2"/>
  <c r="G322" i="2" s="1"/>
  <c r="B323" i="2"/>
  <c r="G323" i="2" s="1"/>
  <c r="B324" i="2"/>
  <c r="G324" i="2" s="1"/>
  <c r="B325" i="2"/>
  <c r="G325" i="2" s="1"/>
  <c r="B326" i="2"/>
  <c r="G326" i="2" s="1"/>
  <c r="B327" i="2"/>
  <c r="G327" i="2" s="1"/>
  <c r="B328" i="2"/>
  <c r="G328" i="2" s="1"/>
  <c r="B329" i="2"/>
  <c r="G329" i="2" s="1"/>
  <c r="B330" i="2"/>
  <c r="G330" i="2" s="1"/>
  <c r="B331" i="2"/>
  <c r="G331" i="2" s="1"/>
  <c r="B332" i="2"/>
  <c r="G332" i="2" s="1"/>
  <c r="B333" i="2"/>
  <c r="G333" i="2" s="1"/>
  <c r="B334" i="2"/>
  <c r="G334" i="2" s="1"/>
  <c r="B335" i="2"/>
  <c r="G335" i="2" s="1"/>
  <c r="B336" i="2"/>
  <c r="G336" i="2" s="1"/>
  <c r="B337" i="2"/>
  <c r="G337" i="2" s="1"/>
  <c r="B338" i="2"/>
  <c r="G338" i="2" s="1"/>
  <c r="B339" i="2"/>
  <c r="G339" i="2" s="1"/>
  <c r="B340" i="2"/>
  <c r="G340" i="2" s="1"/>
  <c r="B341" i="2"/>
  <c r="G341" i="2" s="1"/>
  <c r="B342" i="2"/>
  <c r="G342" i="2" s="1"/>
  <c r="B343" i="2"/>
  <c r="G343" i="2" s="1"/>
  <c r="B344" i="2"/>
  <c r="G344" i="2" s="1"/>
  <c r="B345" i="2"/>
  <c r="G345" i="2" s="1"/>
  <c r="B346" i="2"/>
  <c r="G346" i="2" s="1"/>
  <c r="B347" i="2"/>
  <c r="G347" i="2" s="1"/>
  <c r="B348" i="2"/>
  <c r="G348" i="2" s="1"/>
  <c r="B349" i="2"/>
  <c r="G349" i="2" s="1"/>
  <c r="B350" i="2"/>
  <c r="G350" i="2" s="1"/>
  <c r="B351" i="2"/>
  <c r="G351" i="2" s="1"/>
  <c r="B352" i="2"/>
  <c r="G352" i="2" s="1"/>
  <c r="B353" i="2"/>
  <c r="G353" i="2" s="1"/>
  <c r="B354" i="2"/>
  <c r="G354" i="2" s="1"/>
  <c r="B355" i="2"/>
  <c r="G355" i="2" s="1"/>
  <c r="B356" i="2"/>
  <c r="G356" i="2" s="1"/>
  <c r="B357" i="2"/>
  <c r="G357" i="2" s="1"/>
  <c r="B358" i="2"/>
  <c r="G358" i="2" s="1"/>
  <c r="B359" i="2"/>
  <c r="G359" i="2" s="1"/>
  <c r="B360" i="2"/>
  <c r="G360" i="2" s="1"/>
  <c r="B361" i="2"/>
  <c r="G361" i="2" s="1"/>
  <c r="B362" i="2"/>
  <c r="G362" i="2" s="1"/>
  <c r="B363" i="2"/>
  <c r="G363" i="2" s="1"/>
  <c r="B364" i="2"/>
  <c r="G364" i="2" s="1"/>
  <c r="B365" i="2"/>
  <c r="G365" i="2" s="1"/>
  <c r="B366" i="2"/>
  <c r="G366" i="2" s="1"/>
  <c r="B2" i="2"/>
  <c r="G2" i="2" s="1"/>
  <c r="C6" i="3"/>
  <c r="C3" i="3"/>
  <c r="C9" i="3"/>
  <c r="C7" i="3"/>
  <c r="C4" i="3"/>
  <c r="C2" i="3"/>
  <c r="C8" i="3"/>
  <c r="C10" i="3"/>
  <c r="C11" i="3"/>
  <c r="C14" i="3"/>
  <c r="C5" i="3"/>
  <c r="C12" i="3"/>
  <c r="C13" i="3"/>
  <c r="I6" i="9" l="1"/>
  <c r="B10" i="11" a="1"/>
  <c r="B10" i="11" s="1"/>
  <c r="B15" i="11"/>
  <c r="B21" i="6"/>
  <c r="C2" i="7"/>
  <c r="B22" i="6"/>
  <c r="B23" i="6"/>
  <c r="B13" i="6"/>
  <c r="B24" i="6"/>
  <c r="B25" i="6"/>
  <c r="B27" i="6"/>
  <c r="B26" i="6"/>
  <c r="B28" i="6"/>
  <c r="B14" i="6"/>
  <c r="B29" i="6"/>
  <c r="B15" i="6"/>
  <c r="B16" i="6"/>
  <c r="B17" i="6"/>
  <c r="B18" i="6"/>
  <c r="B19" i="6"/>
  <c r="B20" i="6"/>
  <c r="B12" i="6"/>
  <c r="B7" i="6"/>
  <c r="C14" i="7"/>
  <c r="B3" i="6"/>
  <c r="C11" i="7"/>
  <c r="C12" i="7"/>
  <c r="B4" i="6"/>
  <c r="B5" i="6"/>
  <c r="C13" i="7"/>
  <c r="B6" i="6"/>
  <c r="B8" i="6"/>
  <c r="B9" i="6"/>
  <c r="B10" i="6"/>
  <c r="B11" i="6"/>
  <c r="B12" i="11"/>
  <c r="B6" i="11"/>
  <c r="B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<sst xmlns="http://schemas.openxmlformats.org/spreadsheetml/2006/main" count="725" uniqueCount="244">
  <si>
    <t>DESCRIÇÃO</t>
  </si>
  <si>
    <t>TURNOS</t>
  </si>
  <si>
    <t>ID_TURNO</t>
  </si>
  <si>
    <t>TURNO</t>
  </si>
  <si>
    <t>HORARIO_INICIO</t>
  </si>
  <si>
    <t>HORARIO_FIM</t>
  </si>
  <si>
    <t>DESCRICAO</t>
  </si>
  <si>
    <t>MANHÃ</t>
  </si>
  <si>
    <t>Turno Matutino</t>
  </si>
  <si>
    <t>TARDE</t>
  </si>
  <si>
    <t>Turno Vespertino</t>
  </si>
  <si>
    <t>NOITE</t>
  </si>
  <si>
    <t>Turno Noturno</t>
  </si>
  <si>
    <t>MODALIDADES</t>
  </si>
  <si>
    <t>ID_MODALIDADE</t>
  </si>
  <si>
    <t>MODALIDADE</t>
  </si>
  <si>
    <t>TIPO</t>
  </si>
  <si>
    <t xml:space="preserve"> DESCRICAO</t>
  </si>
  <si>
    <t>PRESENCIAL</t>
  </si>
  <si>
    <t>Presencial</t>
  </si>
  <si>
    <t>Aula Presencial</t>
  </si>
  <si>
    <t>EAD</t>
  </si>
  <si>
    <t xml:space="preserve">Aula Virtual </t>
  </si>
  <si>
    <t>DATA</t>
  </si>
  <si>
    <t>DIA_SEMANA</t>
  </si>
  <si>
    <t>MÊS</t>
  </si>
  <si>
    <t>ANO</t>
  </si>
  <si>
    <t>TIPO_DIA</t>
  </si>
  <si>
    <t>DIA_UTIL</t>
  </si>
  <si>
    <t>Feriado</t>
  </si>
  <si>
    <t>Confraternização Universal</t>
  </si>
  <si>
    <t>Recesso</t>
  </si>
  <si>
    <t>Férias Escolares de Aprendizagem e Cursos Técnicos</t>
  </si>
  <si>
    <t>Abono COGECOR (Carnaval)</t>
  </si>
  <si>
    <t>Carnaval</t>
  </si>
  <si>
    <t>Quarta-Feira de Cinzas</t>
  </si>
  <si>
    <t>Sexta-feira da Paixão</t>
  </si>
  <si>
    <t>Tiradentes</t>
  </si>
  <si>
    <t>São Jorge</t>
  </si>
  <si>
    <t>Dia do Trabalhador</t>
  </si>
  <si>
    <t>Corpus Christi</t>
  </si>
  <si>
    <t>Recesso Escolar/Periodo de Renovação e Rematrícul</t>
  </si>
  <si>
    <t>Recesso Dia do Instrutor</t>
  </si>
  <si>
    <t>Independência do Brasil</t>
  </si>
  <si>
    <t>Nossa Senhora Aparecida</t>
  </si>
  <si>
    <t>Finados</t>
  </si>
  <si>
    <t>Proclamação da República</t>
  </si>
  <si>
    <t>Dia da Consciência Negra</t>
  </si>
  <si>
    <t>Encerramento das Aulas</t>
  </si>
  <si>
    <t>ID</t>
  </si>
  <si>
    <t>NOME_PADRONIZADO</t>
  </si>
  <si>
    <t>STATUS</t>
  </si>
  <si>
    <t>TELEFONE</t>
  </si>
  <si>
    <t>EMAIL</t>
  </si>
  <si>
    <t>CARGA_HORARIA_SEMANAL</t>
  </si>
  <si>
    <t>HABILITADO_EAD</t>
  </si>
  <si>
    <t>OBSERVAÇÃO</t>
  </si>
  <si>
    <t>Cleber de Freitas Maia</t>
  </si>
  <si>
    <t>ATIVO</t>
  </si>
  <si>
    <t>+55 21 97033-5155</t>
  </si>
  <si>
    <t>cldmaia@firjan.com.br</t>
  </si>
  <si>
    <t>SIM</t>
  </si>
  <si>
    <t>Deilson dos Santos de Aquino</t>
  </si>
  <si>
    <t>+55 21 98023-4306</t>
  </si>
  <si>
    <t>DAQUINO@firjan.com.br</t>
  </si>
  <si>
    <t>Fabrício Curvello Gomes</t>
  </si>
  <si>
    <t>+55 21 96912-3936</t>
  </si>
  <si>
    <t>FCGOMES@firjan.com.br</t>
  </si>
  <si>
    <t>George Coelho Kleinau Vasconcelos</t>
  </si>
  <si>
    <t>+55 21 99697-2597</t>
  </si>
  <si>
    <t>gcvasconcelos@firjan.com.br</t>
  </si>
  <si>
    <t>Guilherme da Silva Rodrigues</t>
  </si>
  <si>
    <t>+55 21 98280-7994</t>
  </si>
  <si>
    <t>gdrodrigues@firjan.com.br</t>
  </si>
  <si>
    <t>Jefferson Leonardo Ayres Brandão</t>
  </si>
  <si>
    <t>+55 21 96492-2016</t>
  </si>
  <si>
    <t>jebrandao@firjan.com.br</t>
  </si>
  <si>
    <t>Matheus de Carvalho Heremenegildo</t>
  </si>
  <si>
    <t>+55 21 97692-2078</t>
  </si>
  <si>
    <t>mhermenegildo@firjan.com.br</t>
  </si>
  <si>
    <t>Natália dos Santos Grillo</t>
  </si>
  <si>
    <t>+55 21990651342</t>
  </si>
  <si>
    <t>ndsouza@firjan.com.br</t>
  </si>
  <si>
    <t>Raphael Barreto de Oliveira</t>
  </si>
  <si>
    <t>+55 21 96849-2658</t>
  </si>
  <si>
    <t>raboliveira@firjan.com.br</t>
  </si>
  <si>
    <t>Rodrigo Dacome Lima</t>
  </si>
  <si>
    <t>+55 21 98045-1231</t>
  </si>
  <si>
    <t>rdlima@firjan.com.br</t>
  </si>
  <si>
    <t xml:space="preserve">Sergio Damasceno Reis </t>
  </si>
  <si>
    <t>+55 21 97639-4523</t>
  </si>
  <si>
    <t>sdreis@firjan.com.br</t>
  </si>
  <si>
    <t>Vagner da Costa Lima</t>
  </si>
  <si>
    <t>+55 21 988090289</t>
  </si>
  <si>
    <t>VLIMA@firjan.com.br</t>
  </si>
  <si>
    <t>Wesley da Silva Souza</t>
  </si>
  <si>
    <t>+55 21 98819-6494</t>
  </si>
  <si>
    <t>WESOUZA@firjan.com.br</t>
  </si>
  <si>
    <t>NOME_AMBIENTE</t>
  </si>
  <si>
    <t>CAPACIDADE</t>
  </si>
  <si>
    <t>VIRTUAL</t>
  </si>
  <si>
    <t>LABORATÓRIO DE SOFTWARE 01</t>
  </si>
  <si>
    <t>SALA DE AULA</t>
  </si>
  <si>
    <t>LABORATÓRIO DE SOFTWARE 02</t>
  </si>
  <si>
    <t>LABORATÓRIO DE SOFTWARE 03</t>
  </si>
  <si>
    <t>NÃO</t>
  </si>
  <si>
    <t>LABORATÓRIO DE SOFTWARE 04</t>
  </si>
  <si>
    <t>LABORATÓRIO DE SOFTWARE 05</t>
  </si>
  <si>
    <t>LABORATÓRIO DE SOFTWARE 06</t>
  </si>
  <si>
    <t>LABORATÓRIO DE SOFTWARE 07</t>
  </si>
  <si>
    <t>LABORATÓRIO DE SOFTWARE 08</t>
  </si>
  <si>
    <t>CYBER ARENA</t>
  </si>
  <si>
    <t xml:space="preserve">LABORATÓRIO </t>
  </si>
  <si>
    <t>ESPAÇO IA</t>
  </si>
  <si>
    <t>SALA DE REUNIÃO</t>
  </si>
  <si>
    <t>ESPAÇO INDÚSTRIA</t>
  </si>
  <si>
    <t>LABORATÓRIO DE REDE</t>
  </si>
  <si>
    <t>LABORATÓRIO</t>
  </si>
  <si>
    <t>MIDIATECA</t>
  </si>
  <si>
    <t>BIBLIOTECA</t>
  </si>
  <si>
    <t>AUDITÓRIO</t>
  </si>
  <si>
    <t>ID_TURMA</t>
  </si>
  <si>
    <t>CODIGO_TURMA</t>
  </si>
  <si>
    <t>NOME_TURMA</t>
  </si>
  <si>
    <t>TURNO_ID</t>
  </si>
  <si>
    <t>MODALIDADE_ID</t>
  </si>
  <si>
    <t>INSTRUTOR_TITULAR_ID</t>
  </si>
  <si>
    <t>DATA_INICIO</t>
  </si>
  <si>
    <t>DATA_TERMINO</t>
  </si>
  <si>
    <t>CARGA_HORARIA_TOTAL</t>
  </si>
  <si>
    <t>VAGAS_TOTAL</t>
  </si>
  <si>
    <t>VAGAS_OCUPADAS</t>
  </si>
  <si>
    <t>QUA20502026U001</t>
  </si>
  <si>
    <t>Qualificação Básica em Inteligência Artficial Industrial - Programa SENAI de IA Industrial</t>
  </si>
  <si>
    <t>ID_DISCIPLINA</t>
  </si>
  <si>
    <t>NOME_DISCIPLINA</t>
  </si>
  <si>
    <t>CARGA_HORARIA</t>
  </si>
  <si>
    <t>ID_REGISTRO</t>
  </si>
  <si>
    <t>ID_INSTRUTOR</t>
  </si>
  <si>
    <t>ID_AMBIENTE</t>
  </si>
  <si>
    <t>HORA_INICIO</t>
  </si>
  <si>
    <t>HORA_FIM</t>
  </si>
  <si>
    <t>HORAS_AULA</t>
  </si>
  <si>
    <t>ALUNOS_PRESENTES</t>
  </si>
  <si>
    <t>STATUS_AULA</t>
  </si>
  <si>
    <t>OBSERVACOES</t>
  </si>
  <si>
    <t>Aula normal</t>
  </si>
  <si>
    <t>PERCENTUAL_OCUPACAO</t>
  </si>
  <si>
    <t>STATUS_OCUPACAO</t>
  </si>
  <si>
    <t>TIPO_AMBIENTE</t>
  </si>
  <si>
    <t>DATA_FALTA</t>
  </si>
  <si>
    <t>MOTIVO</t>
  </si>
  <si>
    <t>SUBSTITUTO_ID</t>
  </si>
  <si>
    <t>DATA_REPOSICAO</t>
  </si>
  <si>
    <t>STATUS_REPOSICAO</t>
  </si>
  <si>
    <t>HORAS_NAO_REGENCIA</t>
  </si>
  <si>
    <t>TIPO_ATIVIDADE</t>
  </si>
  <si>
    <t>PAINEL DE CONTROLE - DIGITECH</t>
  </si>
  <si>
    <t xml:space="preserve">Data de Referência: </t>
  </si>
  <si>
    <t>Métrica</t>
  </si>
  <si>
    <t>Fórmula</t>
  </si>
  <si>
    <t>Total Instrutores</t>
  </si>
  <si>
    <t>Total Turmas Ativas</t>
  </si>
  <si>
    <t>Total Ambientes Físicos</t>
  </si>
  <si>
    <t>Aulas Hoje</t>
  </si>
  <si>
    <t>Ocupação Média (Física)</t>
  </si>
  <si>
    <t>Horas Não Regência (Mês)</t>
  </si>
  <si>
    <t>Taxa Não Regência</t>
  </si>
  <si>
    <t>Turno</t>
  </si>
  <si>
    <t>Ocupação</t>
  </si>
  <si>
    <t>Manhã</t>
  </si>
  <si>
    <t>Tarde</t>
  </si>
  <si>
    <t>Noite</t>
  </si>
  <si>
    <t>PARÂMETRO</t>
  </si>
  <si>
    <t>VALOR</t>
  </si>
  <si>
    <t>Meta Ocupação Mínima</t>
  </si>
  <si>
    <t>Ocupação mínima aceitável</t>
  </si>
  <si>
    <t>Meta Ocupação Ideal</t>
  </si>
  <si>
    <t>Ocupação ideal</t>
  </si>
  <si>
    <t>Limite Não Regência</t>
  </si>
  <si>
    <t>Máximo de Horas Não Regência</t>
  </si>
  <si>
    <t>Carga Horária Semanal Máx</t>
  </si>
  <si>
    <t>Carga Máxima  por Instrutor</t>
  </si>
  <si>
    <t>Dias para Repor Falta</t>
  </si>
  <si>
    <t>Prazo Máximo Para reposição</t>
  </si>
  <si>
    <t>Turno Manhã Início</t>
  </si>
  <si>
    <t>Turno Manhã Fim</t>
  </si>
  <si>
    <t>Turno Tarde Início</t>
  </si>
  <si>
    <t>Turno Tarde Fim</t>
  </si>
  <si>
    <t xml:space="preserve">Turno Noite Início </t>
  </si>
  <si>
    <t>Turno Noite Fim</t>
  </si>
  <si>
    <t>Concluída</t>
  </si>
  <si>
    <t>RI;</t>
  </si>
  <si>
    <t>QUA04382026U003</t>
  </si>
  <si>
    <t>Programador Full Stack</t>
  </si>
  <si>
    <t>Em andamento</t>
  </si>
  <si>
    <t>Fundamentos de Desenvolvimento: Introdução, Versionamento e Containerização</t>
  </si>
  <si>
    <t xml:space="preserve">SALA DE AULA </t>
  </si>
  <si>
    <t>FÉRIAS</t>
  </si>
  <si>
    <t>CEDIDO AO MARACANÃ</t>
  </si>
  <si>
    <t>Evento</t>
  </si>
  <si>
    <t>Eliane Damasceno; Sindicato de TI</t>
  </si>
  <si>
    <t>APR01302026U006</t>
  </si>
  <si>
    <t>Desenvolvedor de Soluções Integradas com TI - M - TechNip</t>
  </si>
  <si>
    <t>Nome do Instrutor</t>
  </si>
  <si>
    <t>NOME_COMPLETO</t>
  </si>
  <si>
    <t>TURMA</t>
  </si>
  <si>
    <t>Lógica de Programação</t>
  </si>
  <si>
    <t>FrontEnd Essencial</t>
  </si>
  <si>
    <t>Gerenciamento de Estados</t>
  </si>
  <si>
    <t>Roteamento e Navegação</t>
  </si>
  <si>
    <t>Fundamentos de Bancos de Dados</t>
  </si>
  <si>
    <t>Desenvolvimento de APIs</t>
  </si>
  <si>
    <t>Integração entre FrontEnd e BackEnd</t>
  </si>
  <si>
    <t>Projeto Final</t>
  </si>
  <si>
    <t>Integração de Competências Profissionais</t>
  </si>
  <si>
    <t>EM ANDAMENTO</t>
  </si>
  <si>
    <t>NÃO INICIADO</t>
  </si>
  <si>
    <t>Fundamentos da Comunicação e Informação</t>
  </si>
  <si>
    <t>Relações Sócio Profissionais, Cidadania e Ética</t>
  </si>
  <si>
    <t>Saúde e Segurança do Trabalho</t>
  </si>
  <si>
    <t>Raciocínio Lógico e Análise de Dados</t>
  </si>
  <si>
    <t>Transformação Digital no Setor Industrial</t>
  </si>
  <si>
    <t>Planejamento e Organização do Trabalho</t>
  </si>
  <si>
    <t>Tecnologia da Informação</t>
  </si>
  <si>
    <t>Ferramentas de Escritório</t>
  </si>
  <si>
    <t>Power BI</t>
  </si>
  <si>
    <t>Inteligência Artificias GenIA</t>
  </si>
  <si>
    <t>Digitalização de Processos</t>
  </si>
  <si>
    <t>Recursos de Infraestruturas em nuvem</t>
  </si>
  <si>
    <t>Automatização e Integração com Recursos de Software</t>
  </si>
  <si>
    <t>Desenvolvimento de sistemas em nuvem</t>
  </si>
  <si>
    <t>Monitoramento e Segurança em nuvem</t>
  </si>
  <si>
    <t>Desenvolvimento de Projeto</t>
  </si>
  <si>
    <t>Estudos Complementares</t>
  </si>
  <si>
    <t>INSTRUTOR</t>
  </si>
  <si>
    <t>DISCIPLINA</t>
  </si>
  <si>
    <t>AMBIENTE</t>
  </si>
  <si>
    <t>#VALOR!</t>
  </si>
  <si>
    <t>INTERVALO</t>
  </si>
  <si>
    <t>DISCIPLINAS</t>
  </si>
  <si>
    <t>FINALIZADO</t>
  </si>
  <si>
    <t>DATA_FIM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</si>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</sst>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F9FAFB"/>
      <name val="Consolas"/>
      <family val="3"/>
    </font>
    <font>
      <sz val="9"/>
      <name val="Segoe UI"/>
      <family val="2"/>
    </font>
    <font>
      <sz val="11"/>
      <color theme="1"/>
      <name val="Calibri"/>
      <scheme val="minor"/>
    </font>
    <font>
      <b/>
      <sz val="2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20" fontId="0" fillId="0" borderId="0" xfId="0" applyNumberFormat="1"/>
    <xf numFmtId="14" fontId="0" fillId="0" borderId="0" xfId="0" applyNumberFormat="1"/>
    <xf numFmtId="0" fontId="2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/>
    <xf numFmtId="0" fontId="4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7" xfId="0" applyBorder="1" applyProtection="1">
      <protection locked="0"/>
    </xf>
    <xf numFmtId="0" fontId="4" fillId="3" borderId="0" xfId="0" applyFont="1" applyFill="1" applyProtection="1">
      <protection locked="0"/>
    </xf>
    <xf numFmtId="0" fontId="4" fillId="3" borderId="0" xfId="0" applyFont="1" applyFill="1"/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5" xfId="0" applyBorder="1"/>
    <xf numFmtId="22" fontId="0" fillId="0" borderId="0" xfId="0" applyNumberFormat="1"/>
    <xf numFmtId="1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/>
    <xf numFmtId="0" fontId="0" fillId="4" borderId="11" xfId="0" applyFill="1" applyBorder="1"/>
    <xf numFmtId="0" fontId="0" fillId="0" borderId="11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18" fontId="0" fillId="0" borderId="0" xfId="0" applyNumberFormat="1"/>
    <xf numFmtId="2" fontId="0" fillId="0" borderId="0" xfId="0" applyNumberFormat="1"/>
    <xf numFmtId="0" fontId="3" fillId="2" borderId="0" xfId="0" applyFont="1" applyFill="1" applyAlignment="1" applyProtection="1">
      <alignment horizontal="center"/>
      <protection locked="0"/>
    </xf>
    <xf numFmtId="0" fontId="8" fillId="5" borderId="0" xfId="0" applyFont="1" applyFill="1" applyAlignment="1">
      <alignment horizontal="center"/>
    </xf>
    <xf numFmtId="0" fontId="0" fillId="0" borderId="1" xfId="0" applyFont="1" applyBorder="1" applyProtection="1">
      <protection locked="0"/>
    </xf>
  </cellXfs>
  <cellStyles count="1">
    <cellStyle name="Normal" xfId="0" builtinId="0"/>
  </cellStyles>
  <dxfs count="67"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25" formatCode="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3" formatCode="h:mm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protection locked="0" hidden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numFmt numFmtId="19" formatCode="dd/mm/yyyy"/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25" formatCode="hh:mm"/>
      <protection locked="1" hidden="0"/>
    </dxf>
    <dxf>
      <numFmt numFmtId="25" formatCode="hh:mm"/>
      <protection locked="1" hidden="0"/>
    </dxf>
    <dxf>
      <protection locked="1" hidden="0"/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protection locked="0" hidden="0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mruColors>
      <color rgb="FFE2EFDA"/>
      <color rgb="FFDDEBF7"/>
      <color rgb="FFF2F2F2"/>
      <color rgb="FFC6EFC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B1CAD2-0991-4AFA-A8C5-85F5500ACC1A}" name="tblTurnos" displayName="tblTurnos" ref="A2:E5" totalsRowShown="0" headerRowDxfId="64" dataDxfId="63" tableBorderDxfId="62">
  <autoFilter ref="A2:E5" xr:uid="{9CB1CAD2-0991-4AFA-A8C5-85F5500ACC1A}"/>
  <tableColumns count="5">
    <tableColumn id="1" xr3:uid="{66C8A751-944C-4ED0-9B93-7EF7890BAC2C}" name="ID_TURNO" dataDxfId="61"/>
    <tableColumn id="2" xr3:uid="{CE79B6B8-84BE-42CD-8597-D513FB5454F3}" name="TURNO" dataDxfId="60"/>
    <tableColumn id="3" xr3:uid="{72B36434-A91F-4B46-ABFB-CA8660948243}" name="HORARIO_INICIO" dataDxfId="59"/>
    <tableColumn id="4" xr3:uid="{39895036-CC40-4170-867E-4FB900291AD1}" name="HORARIO_FIM" dataDxfId="58"/>
    <tableColumn id="5" xr3:uid="{883890C6-E58B-43F9-93BF-FE0182EAC856}" name="DESCRICAO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641B7E-1E4B-4F99-8245-A48C23AE54BB}" name="tblModalidades" displayName="tblModalidades" ref="A2:D4" totalsRowShown="0" headerRowDxfId="56" dataDxfId="55">
  <autoFilter ref="A2:D4" xr:uid="{43641B7E-1E4B-4F99-8245-A48C23AE54BB}"/>
  <tableColumns count="4">
    <tableColumn id="1" xr3:uid="{B42A8C1C-387F-4E3D-A54F-CF1D913A6676}" name="ID_MODALIDADE" dataDxfId="54"/>
    <tableColumn id="2" xr3:uid="{409E0C8E-C00D-45B9-8113-E86B37049A97}" name="MODALIDADE" dataDxfId="53"/>
    <tableColumn id="3" xr3:uid="{9B83D5E8-C0D6-41D3-A5EB-27263A3A1DDA}" name="TIPO" dataDxfId="52"/>
    <tableColumn id="4" xr3:uid="{D7FE0EEE-44EA-4C6B-B889-B4C030F1B758}" name=" DESCRICAO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D56904-85CF-4C47-A092-1CC4D719D317}" name="tblCalendario" displayName="tblCalendario" ref="A1:G366" totalsRowShown="0" dataDxfId="50">
  <autoFilter ref="A1:G366" xr:uid="{2AD56904-85CF-4C47-A092-1CC4D719D317}"/>
  <tableColumns count="7">
    <tableColumn id="1" xr3:uid="{F779E569-925E-439D-B1E1-8D86C934DF94}" name="DATA" dataDxfId="49"/>
    <tableColumn id="2" xr3:uid="{9910EA8A-79F0-4CBA-B0EA-76C6A01D1DA2}" name="DIA_SEMANA" dataDxfId="48">
      <calculatedColumnFormula>TEXT(A2,"dddd")</calculatedColumnFormula>
    </tableColumn>
    <tableColumn id="3" xr3:uid="{B5623804-AA40-4BA7-B2EB-75E1D43E1DDA}" name="MÊS" dataDxfId="47">
      <calculatedColumnFormula>TEXT(A2,"mmmm")</calculatedColumnFormula>
    </tableColumn>
    <tableColumn id="4" xr3:uid="{353E7915-D743-4718-B4A3-CE0D53F4A516}" name="ANO" dataDxfId="46">
      <calculatedColumnFormula>YEAR(A2)</calculatedColumnFormula>
    </tableColumn>
    <tableColumn id="5" xr3:uid="{816AC587-9819-42DF-80FD-264F991CF8F3}" name="TIPO_DIA" dataDxfId="45"/>
    <tableColumn id="6" xr3:uid="{7A6D793C-B684-4E23-A357-D584AE0AC6FD}" name="DESCRICAO" dataDxfId="44"/>
    <tableColumn id="7" xr3:uid="{5B786348-03B6-441E-A7B1-194F3AA43107}" name="DIA_UTIL" dataDxfId="43">
      <calculatedColumnFormula>IF(OR(E2="Feriado",E2="Recesso",B2="domingo",B2="sábado"),"NÃO","SIM")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39EA4-9F67-4E18-B764-60076E4485F8}" name="tblInstrutores" displayName="tblInstrutores" ref="A1:I14" totalsRowShown="0" headerRowDxfId="42" dataDxfId="40" headerRowBorderDxfId="41" tableBorderDxfId="39" totalsRowBorderDxfId="38">
  <autoFilter ref="A1:I14" xr:uid="{10D39EA4-9F67-4E18-B764-60076E4485F8}"/>
  <sortState xmlns:xlrd2="http://schemas.microsoft.com/office/spreadsheetml/2017/richdata2" ref="A2:G14">
    <sortCondition ref="B1:B14"/>
  </sortState>
  <tableColumns count="9">
    <tableColumn id="1" xr3:uid="{E0F79A67-2297-4B4A-A8E9-7102EE99B694}" name="ID" dataDxfId="37">
      <calculatedColumnFormula>IF(B2&lt;&gt;"",ROW()-1,"")</calculatedColumnFormula>
    </tableColumn>
    <tableColumn id="2" xr3:uid="{532A9770-E647-4D50-B202-8BBE5806648D}" name="NOME_COMPLETO" dataDxfId="36"/>
    <tableColumn id="3" xr3:uid="{DD24D10E-34AA-4D8E-B5F7-9B0E7D84B23A}" name="NOME_PADRONIZADO" dataDxfId="35">
      <calculatedColumnFormula>UPPER(B2)</calculatedColumnFormula>
    </tableColumn>
    <tableColumn id="5" xr3:uid="{0DC783F1-8A1B-443E-A9AF-DB40A28DED0F}" name="STATUS" dataDxfId="34"/>
    <tableColumn id="9" xr3:uid="{8E33C3CA-EB70-43F9-B178-A5FD7FB25151}" name="TELEFONE" dataDxfId="33"/>
    <tableColumn id="6" xr3:uid="{6BB804C3-6D00-4CBA-AADC-80AA2AA5F0B3}" name="EMAIL" dataDxfId="32"/>
    <tableColumn id="7" xr3:uid="{066724F8-E631-4356-AF06-A44B57F600FB}" name="CARGA_HORARIA_SEMANAL" dataDxfId="31"/>
    <tableColumn id="8" xr3:uid="{18D3697E-D2C6-4E06-9624-B784D6581D8D}" name="HABILITADO_EAD" dataDxfId="30"/>
    <tableColumn id="10" xr3:uid="{0523A053-C6F6-4529-94E2-81C8ABD9D627}" name="OBSERVAÇÃO" dataDxfId="2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01504-D869-4496-AFB3-1B2D28A46752}" name="tblAmbientes" displayName="tblAmbientes" ref="A1:E17" totalsRowShown="0" headerRowDxfId="28" dataDxfId="27">
  <autoFilter ref="A1:E17" xr:uid="{DFA01504-D869-4496-AFB3-1B2D28A46752}"/>
  <tableColumns count="5">
    <tableColumn id="1" xr3:uid="{4CC770AA-6DA6-4EFC-AAF1-5A329E637763}" name="ID" dataDxfId="26">
      <calculatedColumnFormula>IF(B2&lt;&gt;"",ROW()-1,"")</calculatedColumnFormula>
    </tableColumn>
    <tableColumn id="2" xr3:uid="{B3952270-EACA-4683-9C35-CB58270B3617}" name="NOME_AMBIENTE" dataDxfId="25"/>
    <tableColumn id="3" xr3:uid="{1B401582-0E5F-494F-8433-828BC136B12C}" name="TIPO" dataDxfId="24"/>
    <tableColumn id="4" xr3:uid="{81780B59-8350-421A-B267-D808DA35B87C}" name="CAPACIDADE" dataDxfId="23"/>
    <tableColumn id="5" xr3:uid="{7A3E5A22-F966-4BA3-A1AA-3C3AF64EA9D1}" name="VIRTUAL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B64AF7-6011-40DE-B8EB-AFCA2AA948F7}" name="tblDisciplinas" displayName="tblDisciplinas" ref="A2:G29" totalsRowShown="0">
  <autoFilter ref="A2:G29" xr:uid="{27B64AF7-6011-40DE-B8EB-AFCA2AA948F7}"/>
  <tableColumns count="7">
    <tableColumn id="1" xr3:uid="{EAB3743F-4C6C-47DC-9FAE-3B30927E6D25}" name="ID_DISCIPLINA" dataDxfId="21">
      <calculatedColumnFormula>IF(E3&lt;&gt;"",ROW()-2,"")</calculatedColumnFormula>
    </tableColumn>
    <tableColumn id="7" xr3:uid="{AB44C0DC-4B9E-4D40-B9CB-D5B9E3AB1664}" name="ID_TURMA" dataDxfId="20">
      <calculatedColumnFormula>_xlfn.XLOOKUP(tblDisciplinas[[#This Row],[TURMA]],tblTurmas[CODIGO_TURMA],tblTurmas[ID_TURMA],"")</calculatedColumnFormula>
    </tableColumn>
    <tableColumn id="8" xr3:uid="{71F544AA-7A31-4153-B640-2C9D09A01400}" name="TURMA"/>
    <tableColumn id="10" xr3:uid="{6CF7FD1A-08A6-4FC7-8349-E61A732E9B9A}" name="NOME_TURMA" dataDxfId="19">
      <calculatedColumnFormula>_xlfn.XLOOKUP(tblDisciplinas[[#This Row],[TURMA]], tblTurmas[CODIGO_TURMA], tblTurmas[NOME_TURMA],"")</calculatedColumnFormula>
    </tableColumn>
    <tableColumn id="2" xr3:uid="{912B15BB-5B7F-4D54-B4D5-F1F5D64871C5}" name="NOME_DISCIPLINA"/>
    <tableColumn id="4" xr3:uid="{76D1B360-A71A-4530-879E-BDAA9FA6DF6B}" name="CARGA_HORARIA"/>
    <tableColumn id="9" xr3:uid="{E13BF67C-CC6E-46D6-A22D-B2F8F8EF4C97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0A3C61-29DA-4B77-A8E0-A94AEA7C5970}" name="tblTurmas" displayName="tblTurmas" ref="A1:P4" totalsRowShown="0">
  <autoFilter ref="A1:P4" xr:uid="{F70A3C61-29DA-4B77-A8E0-A94AEA7C5970}"/>
  <tableColumns count="16">
    <tableColumn id="1" xr3:uid="{60519A1D-E366-40EF-85F1-836DEB879F68}" name="ID_TURMA">
      <calculatedColumnFormula>IF(B2&lt;&gt;"",ROW()-1,"")</calculatedColumnFormula>
    </tableColumn>
    <tableColumn id="2" xr3:uid="{9042D9C0-8F8C-48B8-A00F-4C204966A3E0}" name="CODIGO_TURMA"/>
    <tableColumn id="3" xr3:uid="{52BE2282-DBEE-432A-AC2C-DC3B0ED8155A}" name="NOME_TURMA"/>
    <tableColumn id="5" xr3:uid="{06615BCB-121E-4F31-B9B5-41FF315BB778}" name="TURNO_ID" dataDxfId="18">
      <calculatedColumnFormula>_xlfn.XLOOKUP(tblTurmas[[#This Row],[TURNO]],tblTurnos[TURNO],tblTurnos[ID_TURNO],"EAD")</calculatedColumnFormula>
    </tableColumn>
    <tableColumn id="4" xr3:uid="{4EBD83E6-0B0C-4F35-A90C-A43846EF4AD7}" name="TURNO"/>
    <tableColumn id="6" xr3:uid="{3BFE6643-6C3C-43FD-B924-3AFB32558378}" name="MODALIDADE_ID">
      <calculatedColumnFormula>_xlfn.XLOOKUP(tblTurmas[[#This Row],[MODALIDADE]],tblModalidades[MODALIDADE],tblModalidades[ID_MODALIDADE],"")</calculatedColumnFormula>
    </tableColumn>
    <tableColumn id="15" xr3:uid="{45019BB0-F00A-4841-B863-EADDA64FC073}" name="MODALIDADE"/>
    <tableColumn id="7" xr3:uid="{3D7E20E2-253B-4213-AC29-E1EE298912E2}" name="INSTRUTOR_TITULAR_ID" dataDxfId="17">
      <calculatedColumnFormula>_xlfn.XLOOKUP(tblTurmas[[#This Row],[INSTRUTOR]],tblInstrutores[NOME_COMPLETO],tblInstrutores[ID],"")</calculatedColumnFormula>
    </tableColumn>
    <tableColumn id="14" xr3:uid="{726835D8-8590-4D8B-97A6-670FB141BB4A}" name="INSTRUTOR"/>
    <tableColumn id="16" xr3:uid="{52F17429-0E2C-4104-A78C-B8A56B97D414}" name="INTERVALO" dataDxfId="16"/>
    <tableColumn id="8" xr3:uid="{7B506599-94E7-4BA6-923F-386276DF3202}" name="DATA_INICIO"/>
    <tableColumn id="9" xr3:uid="{866256CA-7D34-41C1-9129-54C37C321CC0}" name="DATA_TERMINO"/>
    <tableColumn id="10" xr3:uid="{0E26EE9C-AEBF-445F-8B55-F7FADC6B5484}" name="CARGA_HORARIA_TOTAL"/>
    <tableColumn id="11" xr3:uid="{02EE4F0B-3DEE-475D-AB20-D5B75E764932}" name="VAGAS_TOTAL"/>
    <tableColumn id="12" xr3:uid="{7A1ED568-5F97-41E2-A08A-05E302E77DA7}" name="VAGAS_OCUPADAS"/>
    <tableColumn id="13" xr3:uid="{57A3BD92-C6B6-42A9-8DCC-5094A24D42F9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4FF5BA-D72F-42D9-8A16-36D06FB34F8D}" name="tblAlocacao" displayName="tblAlocacao" ref="A1:T286" totalsRowShown="0">
  <autoFilter ref="A1:T286" xr:uid="{B14FF5BA-D72F-42D9-8A16-36D06FB34F8D}"/>
  <sortState xmlns:xlrd2="http://schemas.microsoft.com/office/spreadsheetml/2017/richdata2" ref="A2:T286">
    <sortCondition ref="D1:D286"/>
  </sortState>
  <tableColumns count="20">
    <tableColumn id="1" xr3:uid="{26F01CA8-27CA-45E7-9496-4DA4C5DFB112}" name="ID_REGISTRO"/>
    <tableColumn id="2" xr3:uid="{6088C19C-60C3-49FB-8F36-E5D675187300}" name="DATA"/>
    <tableColumn id="3" xr3:uid="{3DC9D8EE-0F77-4D9D-9274-DA5AD82CB9F9}" name="ID_TURMA" dataDxfId="15">
      <calculatedColumnFormula>_xlfn.XLOOKUP(tblAlocacao[[#This Row],[TURMA]],tblTurmas[CODIGO_TURMA],tblTurmas[ID_TURMA],"")</calculatedColumnFormula>
    </tableColumn>
    <tableColumn id="20" xr3:uid="{69C05D6F-11A8-41E4-BF05-975BC4334AAB}" name="TURMA"/>
    <tableColumn id="4" xr3:uid="{97A3E5B6-9CDC-4E51-AE20-35E2DE45AA9A}" name="ID_DISCIPLINA" dataDxfId="14">
      <calculatedColumnFormula>_xlfn.XLOOKUP(tblAlocacao[[#This Row],[DISCIPLINA]],tblDisciplinas[NOME_DISCIPLINA],tblDisciplinas[ID_DISCIPLINA],"")</calculatedColumnFormula>
    </tableColumn>
    <tableColumn id="21" xr3:uid="{8DAD9F82-DD32-4FF1-98DE-3BDCE0BEF7CE}" name="DISCIPLINA"/>
    <tableColumn id="5" xr3:uid="{36091ABA-AD8F-4375-86D2-9948DD4B8EA9}" name="ID_INSTRUTOR">
      <calculatedColumnFormula>_xlfn.XLOOKUP(tblAlocacao[[#This Row],[Nome do Instrutor]],tblInstrutores[NOME_COMPLETO],tblInstrutores[ID],"")</calculatedColumnFormula>
    </tableColumn>
    <tableColumn id="17" xr3:uid="{3964019F-EE8B-4430-B64E-C4B65E0A0B14}" name="Nome do Instrutor" dataDxfId="13">
      <calculatedColumnFormula>_xlfn.XLOOKUP(tblAlocacao[[#This Row],[TURMA]],tblTurmas[CODIGO_TURMA],tblTurmas[INSTRUTOR],"")</calculatedColumnFormula>
    </tableColumn>
    <tableColumn id="6" xr3:uid="{9E706770-192A-4CAD-A05F-050FCE1A954E}" name="ID_AMBIENTE" dataDxfId="12">
      <calculatedColumnFormula>_xlfn.XLOOKUP(tblAlocacao[[#This Row],[AMBIENTE]],tblAmbientes[NOME_AMBIENTE],tblAmbientes[ID],"")</calculatedColumnFormula>
    </tableColumn>
    <tableColumn id="15" xr3:uid="{41027BFC-EF08-4BA8-8911-CFB5D8B98B49}" name="AMBIENTE"/>
    <tableColumn id="7" xr3:uid="{574C2C87-8098-4F01-8DE4-4BA82473000D}" name="ID_TURNO">
      <calculatedColumnFormula>_xlfn.XLOOKUP(tblAlocacao[[#This Row],['#VALOR!]],tblTurnos[TURNO],tblTurnos[ID_TURNO],"")</calculatedColumnFormula>
    </tableColumn>
    <tableColumn id="18" xr3:uid="{0B3F7A77-9BD1-49E1-B259-8BEC74371ECD}" name="#VALOR!">
      <calculatedColumnFormula>_xlfn.XLOOKUP(tblAlocacao[[#This Row],[TURMA]],tblTurmas[CODIGO_TURMA],tblTurmas[TURNO],"")</calculatedColumnFormula>
    </tableColumn>
    <tableColumn id="8" xr3:uid="{DED83BCE-A8EE-4452-832C-E8724892CF99}" name="ID_MODALIDADE">
      <calculatedColumnFormula>_xlfn.XLOOKUP(tblAlocacao[[#This Row],[MODALIDADE]], tblModalidades[MODALIDADE], tblModalidades[ID_MODALIDADE],"")</calculatedColumnFormula>
    </tableColumn>
    <tableColumn id="19" xr3:uid="{5BE338C7-2CC7-4995-926D-03143942C848}" name="MODALIDADE"/>
    <tableColumn id="9" xr3:uid="{A9B3487C-55C6-4A27-BFD0-0AB086E6F16B}" name="HORA_INICIO"/>
    <tableColumn id="10" xr3:uid="{C8D6EDFC-0B0B-4FA8-8394-B10AA39F7E29}" name="HORA_FIM"/>
    <tableColumn id="11" xr3:uid="{BA775167-444E-4E8B-B869-8FA82AF18593}" name="HORAS_AULA" dataDxfId="11">
      <calculatedColumnFormula>($P2-$O2)-_xlfn.XLOOKUP(tblAlocacao[[#This Row],[TURMA]],tblTurmas[CODIGO_TURMA],tblTurmas[INTERVALO],"")</calculatedColumnFormula>
    </tableColumn>
    <tableColumn id="12" xr3:uid="{1EDB8525-12A6-4FFF-8C85-2E2B0308588A}" name="ALUNOS_PRESENTES"/>
    <tableColumn id="13" xr3:uid="{D45B00F7-6AAD-4766-BF73-13C2F94998EF}" name="STATUS_AULA"/>
    <tableColumn id="14" xr3:uid="{6A33A443-CC92-4CE5-B6C4-4456ED7923BB}" name="OBSERVACO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D6EF5C-858A-471C-BB4C-807E61785D3F}" name="tblOcupacao" displayName="tblOcupacao" ref="A1:J433" totalsRowShown="0">
  <autoFilter ref="A1:J433" xr:uid="{C2D6EF5C-858A-471C-BB4C-807E61785D3F}"/>
  <sortState xmlns:xlrd2="http://schemas.microsoft.com/office/spreadsheetml/2017/richdata2" ref="A2:J433">
    <sortCondition ref="C1:C433"/>
  </sortState>
  <tableColumns count="10">
    <tableColumn id="1" xr3:uid="{5D64B531-2B5A-41D2-B091-C2501106A810}" name="DATA"/>
    <tableColumn id="2" xr3:uid="{E9D5B192-1664-4C44-B817-5E2787B1BC2A}" name="ID_AMBIENTE" dataDxfId="10">
      <calculatedColumnFormula>_xlfn.XLOOKUP(tblOcupacao[[#This Row],[AMBIENTE]],tblAmbientes[NOME_AMBIENTE],tblAmbientes[ID],"")</calculatedColumnFormula>
    </tableColumn>
    <tableColumn id="9" xr3:uid="{9B86429E-88A3-4A51-9ADE-42121DFF9A4F}" name="AMBIENTE"/>
    <tableColumn id="3" xr3:uid="{A6F82553-3DDB-44D4-B09C-992245966256}" name="ID_TURNO" dataDxfId="9">
      <calculatedColumnFormula>_xlfn.XLOOKUP(tblOcupacao[[#This Row],[TURNO]],tblTurnos[TURNO],tblTurnos[ID_TURNO],"")</calculatedColumnFormula>
    </tableColumn>
    <tableColumn id="10" xr3:uid="{F6EE1A7F-593B-4E0D-9EB0-B6F92EECEB1A}" name="TURNO"/>
    <tableColumn id="4" xr3:uid="{1B094B40-F0E2-41B0-B80F-4FF2EF76E0D3}" name="VAGAS_OCUPADAS"/>
    <tableColumn id="5" xr3:uid="{1FD6B13D-1B7D-455A-B4FD-6C50EEF76002}" name="CAPACIDADE"/>
    <tableColumn id="6" xr3:uid="{88504BEB-A991-46C1-882A-53CD6D3C4827}" name="PERCENTUAL_OCUPACAO" dataDxfId="8">
      <calculatedColumnFormula>$F2/$G2</calculatedColumnFormula>
    </tableColumn>
    <tableColumn id="7" xr3:uid="{BA85A04D-3459-4AE3-9651-7E97C4D7BAE6}" name="STATUS_OCUPACAO" dataDxfId="7">
      <calculatedColumnFormula>IF(tblOcupacao[[#This Row],[PERCENTUAL_OCUPACAO]]&gt;0.75,"ALTA",IF(AND(tblOcupacao[[#This Row],[PERCENTUAL_OCUPACAO]]&lt;0.74,tblOcupacao[[#This Row],[PERCENTUAL_OCUPACAO]]&gt;0.5),"MÉDIO","BAIXO"))</calculatedColumnFormula>
    </tableColumn>
    <tableColumn id="8" xr3:uid="{482E2A7F-5074-4E85-B850-719BFEAA3756}" name="TIPO_AMBI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86751A-B0FE-4DB2-A339-752A82C8EBB2}" name="tblNaoRegencia" displayName="tblNaoRegencia" ref="A1:G40" totalsRowShown="0">
  <autoFilter ref="A1:G40" xr:uid="{A986751A-B0FE-4DB2-A339-752A82C8EBB2}"/>
  <tableColumns count="7">
    <tableColumn id="3" xr3:uid="{C41BC749-29FB-4B6F-9EA2-D96ADD02E462}" name="ID_INSTRUTOR" dataDxfId="66">
      <calculatedColumnFormula>_xlfn.XLOOKUP($B2,tblInstrutores[NOME_COMPLETO],tblInstrutores[ID])</calculatedColumnFormula>
    </tableColumn>
    <tableColumn id="8" xr3:uid="{365EBB65-AF80-4E7B-89A4-79CE5F2AB432}" name="INSTRUTOR"/>
    <tableColumn id="9" xr3:uid="{D3DE3AAD-CD37-4E63-97AA-798CAE59423B}" name="DATA_INICIO"/>
    <tableColumn id="10" xr3:uid="{DC38F51D-F55B-4FCE-9DEB-F22E95157356}" name="DATA_FIM"/>
    <tableColumn id="4" xr3:uid="{11EF8702-E803-4685-B2C8-3A78BE4767F1}" name="HORAS_NAO_REGENCIA" dataDxfId="65"/>
    <tableColumn id="5" xr3:uid="{78F32153-EFD3-4A0D-9B3E-4F5A0AC4EA03}" name="TIPO_ATIVIDADE"/>
    <tableColumn id="6" xr3:uid="{C209715A-6D68-4CB2-BE03-6EB9D41B3128}" name="DESCRICA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6C7BFB-45B8-4BFA-AB59-9109CD030669}" name="Tabela13" displayName="Tabela13" ref="A1:J11" totalsRowShown="0">
  <autoFilter ref="A1:J11" xr:uid="{0F6C7BFB-45B8-4BFA-AB59-9109CD030669}"/>
  <tableColumns count="10">
    <tableColumn id="1" xr3:uid="{777D8F4B-4E54-4D25-85CD-95A1C29201CF}" name="ID_REGISTRO"/>
    <tableColumn id="2" xr3:uid="{1A2EBCBF-6DF1-4D28-BEBD-4DF70127CC32}" name="DATA_FALTA"/>
    <tableColumn id="3" xr3:uid="{B600ED18-D3EA-436F-973D-8F725213B25C}" name="ID_INSTRUTOR" dataDxfId="6">
      <calculatedColumnFormula>_xlfn.XLOOKUP(Tabela13[[#This Row],[INSTRUTOR]],tblInstrutores[NOME_COMPLETO],tblInstrutores[ID],"")</calculatedColumnFormula>
    </tableColumn>
    <tableColumn id="10" xr3:uid="{D5F1B6E7-37B8-4C25-AB78-D9B4DF386F26}" name="INSTRUTOR"/>
    <tableColumn id="4" xr3:uid="{8F640B98-8BA9-4E35-811A-7EDB193F0D55}" name="ID_TURMA"/>
    <tableColumn id="5" xr3:uid="{B78765EB-904B-483D-B62C-910E3D862620}" name="MOTIVO"/>
    <tableColumn id="6" xr3:uid="{CF698B34-AEC3-4979-BB11-AE4607622BB4}" name="SUBSTITUTO_ID"/>
    <tableColumn id="7" xr3:uid="{AFC15167-16A1-400F-B0E4-1DB00EC7CEA6}" name="DATA_REPOSICAO"/>
    <tableColumn id="8" xr3:uid="{2FABE262-C7F4-41B9-B600-636B2C64DAF1}" name="STATUS_REPOSICAO"/>
    <tableColumn id="9" xr3:uid="{E413E559-8999-463A-9929-B7E81D30712F}" name="OBSERVA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F20B93-93C1-46B3-8F69-45B7FBEB31A8}" name="Tabela16" displayName="Tabela16" ref="A10:C21" totalsRowShown="0">
  <autoFilter ref="A10:C21" xr:uid="{75F20B93-93C1-46B3-8F69-45B7FBEB31A8}"/>
  <tableColumns count="3">
    <tableColumn id="1" xr3:uid="{864AACEE-78FA-40CC-AD13-56D3C344A2D4}" name="PARÂMETRO"/>
    <tableColumn id="2" xr3:uid="{57E86055-2CCE-4631-9A08-ED866B3C8B9D}" name="VALOR" dataDxfId="5"/>
    <tableColumn id="3" xr3:uid="{A0FFA1C2-5301-484A-A146-CFB1C2F7E495}" name="DESCRIÇÃ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6B48-1893-40C1-8E71-835F055A5FD8}">
  <sheetPr codeName="Planilha1">
    <tabColor theme="4" tint="0.39997558519241921"/>
  </sheetPr>
  <dimension ref="A1:E5"/>
  <sheetViews>
    <sheetView workbookViewId="0">
      <selection activeCell="G22" sqref="G22"/>
    </sheetView>
  </sheetViews>
  <sheetFormatPr defaultRowHeight="14.5" x14ac:dyDescent="0.35"/>
  <cols>
    <col min="1" max="1" width="11.90625" bestFit="1" customWidth="1"/>
    <col min="2" max="2" width="9.08984375" bestFit="1" customWidth="1"/>
    <col min="3" max="3" width="17.453125" bestFit="1" customWidth="1"/>
    <col min="4" max="4" width="15.26953125" bestFit="1" customWidth="1"/>
    <col min="5" max="5" width="15.36328125" bestFit="1" customWidth="1"/>
  </cols>
  <sheetData>
    <row r="1" spans="1:5" x14ac:dyDescent="0.35">
      <c r="A1" s="43" t="s">
        <v>1</v>
      </c>
      <c r="B1" s="43"/>
      <c r="C1" s="43"/>
      <c r="D1" s="43"/>
      <c r="E1" s="43"/>
    </row>
    <row r="2" spans="1:5" x14ac:dyDescent="0.35">
      <c r="A2" s="25" t="s">
        <v>2</v>
      </c>
      <c r="B2" s="26" t="s">
        <v>3</v>
      </c>
      <c r="C2" s="26" t="s">
        <v>4</v>
      </c>
      <c r="D2" s="26" t="s">
        <v>5</v>
      </c>
      <c r="E2" s="25" t="s">
        <v>6</v>
      </c>
    </row>
    <row r="3" spans="1:5" x14ac:dyDescent="0.35">
      <c r="A3" s="8">
        <v>1</v>
      </c>
      <c r="B3" t="s">
        <v>7</v>
      </c>
      <c r="C3" s="1">
        <v>0.33333333333333331</v>
      </c>
      <c r="D3" s="1">
        <v>0.5</v>
      </c>
      <c r="E3" s="8" t="s">
        <v>8</v>
      </c>
    </row>
    <row r="4" spans="1:5" x14ac:dyDescent="0.35">
      <c r="A4" s="8">
        <v>2</v>
      </c>
      <c r="B4" t="s">
        <v>9</v>
      </c>
      <c r="C4" s="1">
        <v>0.54166666666666663</v>
      </c>
      <c r="D4" s="1">
        <v>0.70833333333333337</v>
      </c>
      <c r="E4" s="8" t="s">
        <v>10</v>
      </c>
    </row>
    <row r="5" spans="1:5" x14ac:dyDescent="0.35">
      <c r="A5" s="8">
        <v>3</v>
      </c>
      <c r="B5" t="s">
        <v>11</v>
      </c>
      <c r="C5" s="1">
        <v>0.75</v>
      </c>
      <c r="D5" s="1">
        <v>0.91666666666666663</v>
      </c>
      <c r="E5" s="8" t="s">
        <v>12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5757-D203-4B5A-B0E1-ED1C6A53E42D}">
  <sheetPr codeName="Planilha2">
    <tabColor theme="4" tint="0.39997558519241921"/>
  </sheetPr>
  <dimension ref="A1:D4"/>
  <sheetViews>
    <sheetView workbookViewId="0">
      <selection activeCell="D27" sqref="D27:D28"/>
    </sheetView>
  </sheetViews>
  <sheetFormatPr defaultRowHeight="14.5" x14ac:dyDescent="0.35"/>
  <cols>
    <col min="1" max="1" width="17.6328125" bestFit="1" customWidth="1"/>
    <col min="2" max="2" width="14.7265625" bestFit="1" customWidth="1"/>
    <col min="3" max="3" width="9.1796875" bestFit="1" customWidth="1"/>
    <col min="4" max="4" width="13.453125" bestFit="1" customWidth="1"/>
  </cols>
  <sheetData>
    <row r="1" spans="1:4" x14ac:dyDescent="0.35">
      <c r="A1" s="43" t="s">
        <v>13</v>
      </c>
      <c r="B1" s="43"/>
      <c r="C1" s="43"/>
      <c r="D1" s="43"/>
    </row>
    <row r="2" spans="1:4" x14ac:dyDescent="0.35">
      <c r="A2" s="27" t="s">
        <v>14</v>
      </c>
      <c r="B2" s="28" t="s">
        <v>15</v>
      </c>
      <c r="C2" s="28" t="s">
        <v>16</v>
      </c>
      <c r="D2" s="29" t="s">
        <v>17</v>
      </c>
    </row>
    <row r="3" spans="1:4" x14ac:dyDescent="0.35">
      <c r="A3" s="24">
        <v>1</v>
      </c>
      <c r="B3" t="s">
        <v>18</v>
      </c>
      <c r="C3" t="s">
        <v>19</v>
      </c>
      <c r="D3" s="30" t="s">
        <v>20</v>
      </c>
    </row>
    <row r="4" spans="1:4" x14ac:dyDescent="0.35">
      <c r="A4" s="24">
        <v>2</v>
      </c>
      <c r="B4" t="s">
        <v>21</v>
      </c>
      <c r="C4" t="s">
        <v>21</v>
      </c>
      <c r="D4" s="30" t="s">
        <v>22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B7CE-CEBB-44B3-8BEC-B202A25181E2}">
  <sheetPr codeName="Planilha3">
    <tabColor theme="4" tint="0.39997558519241921"/>
  </sheetPr>
  <dimension ref="A1:G366"/>
  <sheetViews>
    <sheetView zoomScaleNormal="100" workbookViewId="0">
      <pane ySplit="1" topLeftCell="A2" activePane="bottomLeft" state="frozen"/>
      <selection pane="bottomLeft" activeCell="E94" sqref="E94"/>
    </sheetView>
  </sheetViews>
  <sheetFormatPr defaultRowHeight="14.5" x14ac:dyDescent="0.35"/>
  <cols>
    <col min="1" max="1" width="10.54296875" bestFit="1" customWidth="1"/>
    <col min="2" max="2" width="14.453125" customWidth="1"/>
    <col min="5" max="5" width="20.7265625" bestFit="1" customWidth="1"/>
    <col min="6" max="6" width="44" bestFit="1" customWidth="1"/>
    <col min="7" max="7" width="10.7265625" customWidth="1"/>
  </cols>
  <sheetData>
    <row r="1" spans="1:7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6</v>
      </c>
      <c r="G1" t="s">
        <v>28</v>
      </c>
    </row>
    <row r="2" spans="1:7" x14ac:dyDescent="0.35">
      <c r="A2" s="9">
        <v>46023</v>
      </c>
      <c r="B2" t="str">
        <f>TEXT(A2,"dddd")</f>
        <v>quinta-feira</v>
      </c>
      <c r="C2" t="str">
        <f>TEXT(A2,"mmmm")</f>
        <v>janeiro</v>
      </c>
      <c r="D2">
        <f>YEAR(A2)</f>
        <v>2026</v>
      </c>
      <c r="E2" s="8" t="s">
        <v>29</v>
      </c>
      <c r="F2" s="8" t="s">
        <v>30</v>
      </c>
      <c r="G2" t="str">
        <f t="shared" ref="G2:G65" si="0">IF(OR(E2="Feriado",E2="Recesso",B2="domingo",B2="sábado"),"NÃO","SIM")</f>
        <v>NÃO</v>
      </c>
    </row>
    <row r="3" spans="1:7" x14ac:dyDescent="0.35">
      <c r="A3" s="9">
        <v>46024</v>
      </c>
      <c r="B3" t="str">
        <f t="shared" ref="B3:B66" si="1">TEXT(A3,"dddd")</f>
        <v>sexta-feira</v>
      </c>
      <c r="C3" t="str">
        <f t="shared" ref="C3:C66" si="2">TEXT(A3,"mmmm")</f>
        <v>janeiro</v>
      </c>
      <c r="D3">
        <f t="shared" ref="D3:D66" si="3">YEAR(A3)</f>
        <v>2026</v>
      </c>
      <c r="E3" s="8" t="s">
        <v>31</v>
      </c>
      <c r="F3" s="8" t="s">
        <v>32</v>
      </c>
      <c r="G3" t="str">
        <f t="shared" si="0"/>
        <v>NÃO</v>
      </c>
    </row>
    <row r="4" spans="1:7" x14ac:dyDescent="0.35">
      <c r="A4" s="9">
        <v>46025</v>
      </c>
      <c r="B4" t="str">
        <f t="shared" si="1"/>
        <v>sábado</v>
      </c>
      <c r="C4" t="str">
        <f t="shared" si="2"/>
        <v>janeiro</v>
      </c>
      <c r="D4">
        <f t="shared" si="3"/>
        <v>2026</v>
      </c>
      <c r="E4" s="8" t="s">
        <v>31</v>
      </c>
      <c r="F4" s="8" t="s">
        <v>32</v>
      </c>
      <c r="G4" t="str">
        <f t="shared" si="0"/>
        <v>NÃO</v>
      </c>
    </row>
    <row r="5" spans="1:7" x14ac:dyDescent="0.35">
      <c r="A5" s="9">
        <v>46026</v>
      </c>
      <c r="B5" t="str">
        <f t="shared" si="1"/>
        <v>domingo</v>
      </c>
      <c r="C5" t="str">
        <f t="shared" si="2"/>
        <v>janeiro</v>
      </c>
      <c r="D5">
        <f t="shared" si="3"/>
        <v>2026</v>
      </c>
      <c r="E5" s="8" t="s">
        <v>31</v>
      </c>
      <c r="F5" s="8" t="s">
        <v>32</v>
      </c>
      <c r="G5" t="str">
        <f t="shared" si="0"/>
        <v>NÃO</v>
      </c>
    </row>
    <row r="6" spans="1:7" x14ac:dyDescent="0.35">
      <c r="A6" s="9">
        <v>46027</v>
      </c>
      <c r="B6" t="str">
        <f t="shared" si="1"/>
        <v>segunda-feira</v>
      </c>
      <c r="C6" t="str">
        <f t="shared" si="2"/>
        <v>janeiro</v>
      </c>
      <c r="D6">
        <f t="shared" si="3"/>
        <v>2026</v>
      </c>
      <c r="E6" s="8" t="s">
        <v>31</v>
      </c>
      <c r="F6" s="8" t="s">
        <v>32</v>
      </c>
      <c r="G6" t="str">
        <f t="shared" si="0"/>
        <v>NÃO</v>
      </c>
    </row>
    <row r="7" spans="1:7" x14ac:dyDescent="0.35">
      <c r="A7" s="9">
        <v>46028</v>
      </c>
      <c r="B7" t="str">
        <f t="shared" si="1"/>
        <v>terça-feira</v>
      </c>
      <c r="C7" t="str">
        <f t="shared" si="2"/>
        <v>janeiro</v>
      </c>
      <c r="D7">
        <f t="shared" si="3"/>
        <v>2026</v>
      </c>
      <c r="E7" s="8" t="s">
        <v>31</v>
      </c>
      <c r="F7" s="8" t="s">
        <v>32</v>
      </c>
      <c r="G7" t="str">
        <f t="shared" si="0"/>
        <v>NÃO</v>
      </c>
    </row>
    <row r="8" spans="1:7" x14ac:dyDescent="0.35">
      <c r="A8" s="9">
        <v>46029</v>
      </c>
      <c r="B8" t="str">
        <f t="shared" si="1"/>
        <v>quarta-feira</v>
      </c>
      <c r="C8" t="str">
        <f t="shared" si="2"/>
        <v>janeiro</v>
      </c>
      <c r="D8">
        <f t="shared" si="3"/>
        <v>2026</v>
      </c>
      <c r="E8" s="8" t="s">
        <v>31</v>
      </c>
      <c r="F8" s="8" t="s">
        <v>32</v>
      </c>
      <c r="G8" t="str">
        <f t="shared" si="0"/>
        <v>NÃO</v>
      </c>
    </row>
    <row r="9" spans="1:7" x14ac:dyDescent="0.35">
      <c r="A9" s="9">
        <v>46030</v>
      </c>
      <c r="B9" t="str">
        <f t="shared" si="1"/>
        <v>quinta-feira</v>
      </c>
      <c r="C9" t="str">
        <f t="shared" si="2"/>
        <v>janeiro</v>
      </c>
      <c r="D9">
        <f t="shared" si="3"/>
        <v>2026</v>
      </c>
      <c r="E9" s="8" t="s">
        <v>31</v>
      </c>
      <c r="F9" s="8" t="s">
        <v>32</v>
      </c>
      <c r="G9" t="str">
        <f t="shared" si="0"/>
        <v>NÃO</v>
      </c>
    </row>
    <row r="10" spans="1:7" x14ac:dyDescent="0.35">
      <c r="A10" s="9">
        <v>46031</v>
      </c>
      <c r="B10" t="str">
        <f t="shared" si="1"/>
        <v>sexta-feira</v>
      </c>
      <c r="C10" t="str">
        <f t="shared" si="2"/>
        <v>janeiro</v>
      </c>
      <c r="D10">
        <f t="shared" si="3"/>
        <v>2026</v>
      </c>
      <c r="E10" s="8" t="s">
        <v>31</v>
      </c>
      <c r="F10" s="8" t="s">
        <v>32</v>
      </c>
      <c r="G10" t="str">
        <f t="shared" si="0"/>
        <v>NÃO</v>
      </c>
    </row>
    <row r="11" spans="1:7" x14ac:dyDescent="0.35">
      <c r="A11" s="9">
        <v>46032</v>
      </c>
      <c r="B11" t="str">
        <f t="shared" si="1"/>
        <v>sábado</v>
      </c>
      <c r="C11" t="str">
        <f t="shared" si="2"/>
        <v>janeiro</v>
      </c>
      <c r="D11">
        <f t="shared" si="3"/>
        <v>2026</v>
      </c>
      <c r="E11" s="8" t="s">
        <v>31</v>
      </c>
      <c r="F11" s="8" t="s">
        <v>32</v>
      </c>
      <c r="G11" t="str">
        <f t="shared" si="0"/>
        <v>NÃO</v>
      </c>
    </row>
    <row r="12" spans="1:7" x14ac:dyDescent="0.35">
      <c r="A12" s="9">
        <v>46033</v>
      </c>
      <c r="B12" t="str">
        <f t="shared" si="1"/>
        <v>domingo</v>
      </c>
      <c r="C12" t="str">
        <f t="shared" si="2"/>
        <v>janeiro</v>
      </c>
      <c r="D12">
        <f t="shared" si="3"/>
        <v>2026</v>
      </c>
      <c r="E12" s="8" t="s">
        <v>31</v>
      </c>
      <c r="F12" s="8" t="s">
        <v>32</v>
      </c>
      <c r="G12" t="str">
        <f t="shared" si="0"/>
        <v>NÃO</v>
      </c>
    </row>
    <row r="13" spans="1:7" x14ac:dyDescent="0.35">
      <c r="A13" s="9">
        <v>46034</v>
      </c>
      <c r="B13" t="str">
        <f t="shared" si="1"/>
        <v>segunda-feira</v>
      </c>
      <c r="C13" t="str">
        <f t="shared" si="2"/>
        <v>janeiro</v>
      </c>
      <c r="D13">
        <f t="shared" si="3"/>
        <v>2026</v>
      </c>
      <c r="E13" s="8" t="s">
        <v>31</v>
      </c>
      <c r="F13" s="8" t="s">
        <v>32</v>
      </c>
      <c r="G13" t="str">
        <f t="shared" si="0"/>
        <v>NÃO</v>
      </c>
    </row>
    <row r="14" spans="1:7" x14ac:dyDescent="0.35">
      <c r="A14" s="9">
        <v>46035</v>
      </c>
      <c r="B14" t="str">
        <f t="shared" si="1"/>
        <v>terça-feira</v>
      </c>
      <c r="C14" t="str">
        <f t="shared" si="2"/>
        <v>janeiro</v>
      </c>
      <c r="D14">
        <f t="shared" si="3"/>
        <v>2026</v>
      </c>
      <c r="E14" s="8" t="s">
        <v>31</v>
      </c>
      <c r="F14" s="8" t="s">
        <v>32</v>
      </c>
      <c r="G14" t="str">
        <f t="shared" si="0"/>
        <v>NÃO</v>
      </c>
    </row>
    <row r="15" spans="1:7" x14ac:dyDescent="0.35">
      <c r="A15" s="9">
        <v>46036</v>
      </c>
      <c r="B15" t="str">
        <f t="shared" si="1"/>
        <v>quarta-feira</v>
      </c>
      <c r="C15" t="str">
        <f t="shared" si="2"/>
        <v>janeiro</v>
      </c>
      <c r="D15">
        <f t="shared" si="3"/>
        <v>2026</v>
      </c>
      <c r="E15" s="8" t="s">
        <v>31</v>
      </c>
      <c r="F15" s="8" t="s">
        <v>32</v>
      </c>
      <c r="G15" t="str">
        <f t="shared" si="0"/>
        <v>NÃO</v>
      </c>
    </row>
    <row r="16" spans="1:7" x14ac:dyDescent="0.35">
      <c r="A16" s="9">
        <v>46037</v>
      </c>
      <c r="B16" t="str">
        <f t="shared" si="1"/>
        <v>quinta-feira</v>
      </c>
      <c r="C16" t="str">
        <f t="shared" si="2"/>
        <v>janeiro</v>
      </c>
      <c r="D16">
        <f t="shared" si="3"/>
        <v>2026</v>
      </c>
      <c r="E16" s="8" t="s">
        <v>31</v>
      </c>
      <c r="F16" s="8" t="s">
        <v>32</v>
      </c>
      <c r="G16" t="str">
        <f t="shared" si="0"/>
        <v>NÃO</v>
      </c>
    </row>
    <row r="17" spans="1:7" x14ac:dyDescent="0.35">
      <c r="A17" s="9">
        <v>46038</v>
      </c>
      <c r="B17" t="str">
        <f t="shared" si="1"/>
        <v>sexta-feira</v>
      </c>
      <c r="C17" t="str">
        <f t="shared" si="2"/>
        <v>janeiro</v>
      </c>
      <c r="D17">
        <f t="shared" si="3"/>
        <v>2026</v>
      </c>
      <c r="E17" s="8" t="s">
        <v>31</v>
      </c>
      <c r="F17" s="8" t="s">
        <v>32</v>
      </c>
      <c r="G17" t="str">
        <f t="shared" si="0"/>
        <v>NÃO</v>
      </c>
    </row>
    <row r="18" spans="1:7" x14ac:dyDescent="0.35">
      <c r="A18" s="9">
        <v>46039</v>
      </c>
      <c r="B18" t="str">
        <f t="shared" si="1"/>
        <v>sábado</v>
      </c>
      <c r="C18" t="str">
        <f t="shared" si="2"/>
        <v>janeiro</v>
      </c>
      <c r="D18">
        <f t="shared" si="3"/>
        <v>2026</v>
      </c>
      <c r="E18" s="8" t="s">
        <v>31</v>
      </c>
      <c r="F18" s="8" t="s">
        <v>32</v>
      </c>
      <c r="G18" t="str">
        <f t="shared" si="0"/>
        <v>NÃO</v>
      </c>
    </row>
    <row r="19" spans="1:7" x14ac:dyDescent="0.35">
      <c r="A19" s="9">
        <v>46040</v>
      </c>
      <c r="B19" t="str">
        <f t="shared" si="1"/>
        <v>domingo</v>
      </c>
      <c r="C19" t="str">
        <f t="shared" si="2"/>
        <v>janeiro</v>
      </c>
      <c r="D19">
        <f t="shared" si="3"/>
        <v>2026</v>
      </c>
      <c r="E19" s="8" t="s">
        <v>31</v>
      </c>
      <c r="F19" s="8" t="s">
        <v>32</v>
      </c>
      <c r="G19" t="str">
        <f t="shared" si="0"/>
        <v>NÃO</v>
      </c>
    </row>
    <row r="20" spans="1:7" x14ac:dyDescent="0.35">
      <c r="A20" s="9">
        <v>46041</v>
      </c>
      <c r="B20" t="str">
        <f t="shared" si="1"/>
        <v>segunda-feira</v>
      </c>
      <c r="C20" t="str">
        <f t="shared" si="2"/>
        <v>janeiro</v>
      </c>
      <c r="D20">
        <f t="shared" si="3"/>
        <v>2026</v>
      </c>
      <c r="E20" s="8" t="s">
        <v>31</v>
      </c>
      <c r="F20" s="8" t="s">
        <v>32</v>
      </c>
      <c r="G20" t="str">
        <f t="shared" si="0"/>
        <v>NÃO</v>
      </c>
    </row>
    <row r="21" spans="1:7" x14ac:dyDescent="0.35">
      <c r="A21" s="9">
        <v>46042</v>
      </c>
      <c r="B21" t="str">
        <f t="shared" si="1"/>
        <v>terça-feira</v>
      </c>
      <c r="C21" t="str">
        <f t="shared" si="2"/>
        <v>janeiro</v>
      </c>
      <c r="D21">
        <f t="shared" si="3"/>
        <v>2026</v>
      </c>
      <c r="E21" s="8" t="s">
        <v>31</v>
      </c>
      <c r="F21" s="8" t="s">
        <v>32</v>
      </c>
      <c r="G21" t="str">
        <f t="shared" si="0"/>
        <v>NÃO</v>
      </c>
    </row>
    <row r="22" spans="1:7" x14ac:dyDescent="0.35">
      <c r="A22" s="9">
        <v>46043</v>
      </c>
      <c r="B22" t="str">
        <f t="shared" si="1"/>
        <v>quarta-feira</v>
      </c>
      <c r="C22" t="str">
        <f t="shared" si="2"/>
        <v>janeiro</v>
      </c>
      <c r="D22">
        <f t="shared" si="3"/>
        <v>2026</v>
      </c>
      <c r="E22" s="8" t="s">
        <v>31</v>
      </c>
      <c r="F22" s="8" t="s">
        <v>32</v>
      </c>
      <c r="G22" t="str">
        <f t="shared" si="0"/>
        <v>NÃO</v>
      </c>
    </row>
    <row r="23" spans="1:7" x14ac:dyDescent="0.35">
      <c r="A23" s="9">
        <v>46044</v>
      </c>
      <c r="B23" t="str">
        <f t="shared" si="1"/>
        <v>quinta-feira</v>
      </c>
      <c r="C23" t="str">
        <f t="shared" si="2"/>
        <v>janeiro</v>
      </c>
      <c r="D23">
        <f t="shared" si="3"/>
        <v>2026</v>
      </c>
      <c r="E23" s="8" t="s">
        <v>31</v>
      </c>
      <c r="F23" s="8" t="s">
        <v>32</v>
      </c>
      <c r="G23" t="str">
        <f t="shared" si="0"/>
        <v>NÃO</v>
      </c>
    </row>
    <row r="24" spans="1:7" x14ac:dyDescent="0.35">
      <c r="A24" s="9">
        <v>46045</v>
      </c>
      <c r="B24" t="str">
        <f t="shared" si="1"/>
        <v>sexta-feira</v>
      </c>
      <c r="C24" t="str">
        <f t="shared" si="2"/>
        <v>janeiro</v>
      </c>
      <c r="D24">
        <f t="shared" si="3"/>
        <v>2026</v>
      </c>
      <c r="E24" s="8" t="s">
        <v>31</v>
      </c>
      <c r="F24" s="8" t="s">
        <v>32</v>
      </c>
      <c r="G24" t="str">
        <f t="shared" si="0"/>
        <v>NÃO</v>
      </c>
    </row>
    <row r="25" spans="1:7" x14ac:dyDescent="0.35">
      <c r="A25" s="9">
        <v>46046</v>
      </c>
      <c r="B25" t="str">
        <f t="shared" si="1"/>
        <v>sábado</v>
      </c>
      <c r="C25" t="str">
        <f t="shared" si="2"/>
        <v>janeiro</v>
      </c>
      <c r="D25">
        <f t="shared" si="3"/>
        <v>2026</v>
      </c>
      <c r="E25" s="8" t="s">
        <v>31</v>
      </c>
      <c r="F25" s="8" t="s">
        <v>32</v>
      </c>
      <c r="G25" t="str">
        <f t="shared" si="0"/>
        <v>NÃO</v>
      </c>
    </row>
    <row r="26" spans="1:7" x14ac:dyDescent="0.35">
      <c r="A26" s="9">
        <v>46047</v>
      </c>
      <c r="B26" t="str">
        <f t="shared" si="1"/>
        <v>domingo</v>
      </c>
      <c r="C26" t="str">
        <f t="shared" si="2"/>
        <v>janeiro</v>
      </c>
      <c r="D26">
        <f t="shared" si="3"/>
        <v>2026</v>
      </c>
      <c r="E26" s="8" t="s">
        <v>31</v>
      </c>
      <c r="F26" s="8" t="s">
        <v>32</v>
      </c>
      <c r="G26" t="str">
        <f t="shared" si="0"/>
        <v>NÃO</v>
      </c>
    </row>
    <row r="27" spans="1:7" x14ac:dyDescent="0.35">
      <c r="A27" s="9">
        <v>46048</v>
      </c>
      <c r="B27" t="str">
        <f t="shared" si="1"/>
        <v>segunda-feira</v>
      </c>
      <c r="C27" t="str">
        <f t="shared" si="2"/>
        <v>janeiro</v>
      </c>
      <c r="D27">
        <f t="shared" si="3"/>
        <v>2026</v>
      </c>
      <c r="E27" s="8" t="s">
        <v>31</v>
      </c>
      <c r="F27" s="8" t="s">
        <v>32</v>
      </c>
      <c r="G27" t="str">
        <f t="shared" si="0"/>
        <v>NÃO</v>
      </c>
    </row>
    <row r="28" spans="1:7" x14ac:dyDescent="0.35">
      <c r="A28" s="9">
        <v>46049</v>
      </c>
      <c r="B28" t="str">
        <f t="shared" si="1"/>
        <v>terça-feira</v>
      </c>
      <c r="C28" t="str">
        <f t="shared" si="2"/>
        <v>janeiro</v>
      </c>
      <c r="D28">
        <f t="shared" si="3"/>
        <v>2026</v>
      </c>
      <c r="E28" s="8" t="s">
        <v>31</v>
      </c>
      <c r="F28" s="8" t="s">
        <v>32</v>
      </c>
      <c r="G28" t="str">
        <f t="shared" si="0"/>
        <v>NÃO</v>
      </c>
    </row>
    <row r="29" spans="1:7" x14ac:dyDescent="0.35">
      <c r="A29" s="9">
        <v>46050</v>
      </c>
      <c r="B29" t="str">
        <f t="shared" si="1"/>
        <v>quarta-feira</v>
      </c>
      <c r="C29" t="str">
        <f t="shared" si="2"/>
        <v>janeiro</v>
      </c>
      <c r="D29">
        <f t="shared" si="3"/>
        <v>2026</v>
      </c>
      <c r="E29" s="8" t="s">
        <v>31</v>
      </c>
      <c r="F29" s="8" t="s">
        <v>32</v>
      </c>
      <c r="G29" t="str">
        <f t="shared" si="0"/>
        <v>NÃO</v>
      </c>
    </row>
    <row r="30" spans="1:7" x14ac:dyDescent="0.35">
      <c r="A30" s="9">
        <v>46051</v>
      </c>
      <c r="B30" t="str">
        <f t="shared" si="1"/>
        <v>quinta-feira</v>
      </c>
      <c r="C30" t="str">
        <f t="shared" si="2"/>
        <v>janeiro</v>
      </c>
      <c r="D30">
        <f t="shared" si="3"/>
        <v>2026</v>
      </c>
      <c r="E30" s="8" t="s">
        <v>31</v>
      </c>
      <c r="F30" s="8" t="s">
        <v>32</v>
      </c>
      <c r="G30" t="str">
        <f t="shared" si="0"/>
        <v>NÃO</v>
      </c>
    </row>
    <row r="31" spans="1:7" x14ac:dyDescent="0.35">
      <c r="A31" s="9">
        <v>46052</v>
      </c>
      <c r="B31" t="str">
        <f t="shared" si="1"/>
        <v>sexta-feira</v>
      </c>
      <c r="C31" t="str">
        <f t="shared" si="2"/>
        <v>janeiro</v>
      </c>
      <c r="D31">
        <f t="shared" si="3"/>
        <v>2026</v>
      </c>
      <c r="E31" s="8" t="s">
        <v>31</v>
      </c>
      <c r="F31" s="8" t="s">
        <v>32</v>
      </c>
      <c r="G31" t="str">
        <f t="shared" si="0"/>
        <v>NÃO</v>
      </c>
    </row>
    <row r="32" spans="1:7" x14ac:dyDescent="0.35">
      <c r="A32" s="9">
        <v>46053</v>
      </c>
      <c r="B32" t="str">
        <f t="shared" si="1"/>
        <v>sábado</v>
      </c>
      <c r="C32" t="str">
        <f t="shared" si="2"/>
        <v>janeiro</v>
      </c>
      <c r="D32">
        <f t="shared" si="3"/>
        <v>2026</v>
      </c>
      <c r="E32" s="8"/>
      <c r="F32" s="8"/>
      <c r="G32" t="str">
        <f t="shared" si="0"/>
        <v>NÃO</v>
      </c>
    </row>
    <row r="33" spans="1:7" x14ac:dyDescent="0.35">
      <c r="A33" s="9">
        <v>46054</v>
      </c>
      <c r="B33" t="str">
        <f t="shared" si="1"/>
        <v>domingo</v>
      </c>
      <c r="C33" t="str">
        <f t="shared" si="2"/>
        <v>fevereiro</v>
      </c>
      <c r="D33">
        <f t="shared" si="3"/>
        <v>2026</v>
      </c>
      <c r="E33" s="8"/>
      <c r="F33" s="8"/>
      <c r="G33" t="str">
        <f t="shared" si="0"/>
        <v>NÃO</v>
      </c>
    </row>
    <row r="34" spans="1:7" x14ac:dyDescent="0.35">
      <c r="A34" s="9">
        <v>46055</v>
      </c>
      <c r="B34" t="str">
        <f t="shared" si="1"/>
        <v>segunda-feira</v>
      </c>
      <c r="C34" t="str">
        <f t="shared" si="2"/>
        <v>fevereiro</v>
      </c>
      <c r="D34">
        <f t="shared" si="3"/>
        <v>2026</v>
      </c>
      <c r="E34" s="8"/>
      <c r="F34" s="8"/>
      <c r="G34" t="str">
        <f t="shared" si="0"/>
        <v>SIM</v>
      </c>
    </row>
    <row r="35" spans="1:7" x14ac:dyDescent="0.35">
      <c r="A35" s="9">
        <v>46056</v>
      </c>
      <c r="B35" t="str">
        <f t="shared" si="1"/>
        <v>terça-feira</v>
      </c>
      <c r="C35" t="str">
        <f t="shared" si="2"/>
        <v>fevereiro</v>
      </c>
      <c r="D35">
        <f t="shared" si="3"/>
        <v>2026</v>
      </c>
      <c r="E35" s="8"/>
      <c r="F35" s="8"/>
      <c r="G35" t="str">
        <f t="shared" si="0"/>
        <v>SIM</v>
      </c>
    </row>
    <row r="36" spans="1:7" x14ac:dyDescent="0.35">
      <c r="A36" s="9">
        <v>46057</v>
      </c>
      <c r="B36" t="str">
        <f t="shared" si="1"/>
        <v>quarta-feira</v>
      </c>
      <c r="C36" t="str">
        <f t="shared" si="2"/>
        <v>fevereiro</v>
      </c>
      <c r="D36">
        <f t="shared" si="3"/>
        <v>2026</v>
      </c>
      <c r="E36" s="8"/>
      <c r="F36" s="8"/>
      <c r="G36" t="str">
        <f t="shared" si="0"/>
        <v>SIM</v>
      </c>
    </row>
    <row r="37" spans="1:7" x14ac:dyDescent="0.35">
      <c r="A37" s="9">
        <v>46058</v>
      </c>
      <c r="B37" t="str">
        <f t="shared" si="1"/>
        <v>quinta-feira</v>
      </c>
      <c r="C37" t="str">
        <f t="shared" si="2"/>
        <v>fevereiro</v>
      </c>
      <c r="D37">
        <f t="shared" si="3"/>
        <v>2026</v>
      </c>
      <c r="E37" s="8"/>
      <c r="F37" s="8"/>
      <c r="G37" t="str">
        <f t="shared" si="0"/>
        <v>SIM</v>
      </c>
    </row>
    <row r="38" spans="1:7" x14ac:dyDescent="0.35">
      <c r="A38" s="9">
        <v>46059</v>
      </c>
      <c r="B38" t="str">
        <f t="shared" si="1"/>
        <v>sexta-feira</v>
      </c>
      <c r="C38" t="str">
        <f t="shared" si="2"/>
        <v>fevereiro</v>
      </c>
      <c r="D38">
        <f t="shared" si="3"/>
        <v>2026</v>
      </c>
      <c r="E38" s="8"/>
      <c r="F38" s="8"/>
      <c r="G38" t="str">
        <f t="shared" si="0"/>
        <v>SIM</v>
      </c>
    </row>
    <row r="39" spans="1:7" x14ac:dyDescent="0.35">
      <c r="A39" s="9">
        <v>46060</v>
      </c>
      <c r="B39" t="str">
        <f t="shared" si="1"/>
        <v>sábado</v>
      </c>
      <c r="C39" t="str">
        <f t="shared" si="2"/>
        <v>fevereiro</v>
      </c>
      <c r="D39">
        <f t="shared" si="3"/>
        <v>2026</v>
      </c>
      <c r="E39" s="8"/>
      <c r="F39" s="8"/>
      <c r="G39" t="str">
        <f t="shared" si="0"/>
        <v>NÃO</v>
      </c>
    </row>
    <row r="40" spans="1:7" x14ac:dyDescent="0.35">
      <c r="A40" s="9">
        <v>46061</v>
      </c>
      <c r="B40" t="str">
        <f t="shared" si="1"/>
        <v>domingo</v>
      </c>
      <c r="C40" t="str">
        <f t="shared" si="2"/>
        <v>fevereiro</v>
      </c>
      <c r="D40">
        <f t="shared" si="3"/>
        <v>2026</v>
      </c>
      <c r="E40" s="8"/>
      <c r="F40" s="8"/>
      <c r="G40" t="str">
        <f t="shared" si="0"/>
        <v>NÃO</v>
      </c>
    </row>
    <row r="41" spans="1:7" x14ac:dyDescent="0.35">
      <c r="A41" s="9">
        <v>46062</v>
      </c>
      <c r="B41" t="str">
        <f t="shared" si="1"/>
        <v>segunda-feira</v>
      </c>
      <c r="C41" t="str">
        <f t="shared" si="2"/>
        <v>fevereiro</v>
      </c>
      <c r="D41">
        <f t="shared" si="3"/>
        <v>2026</v>
      </c>
      <c r="E41" s="8"/>
      <c r="F41" s="8"/>
      <c r="G41" t="str">
        <f t="shared" si="0"/>
        <v>SIM</v>
      </c>
    </row>
    <row r="42" spans="1:7" x14ac:dyDescent="0.35">
      <c r="A42" s="9">
        <v>46063</v>
      </c>
      <c r="B42" t="str">
        <f t="shared" si="1"/>
        <v>terça-feira</v>
      </c>
      <c r="C42" t="str">
        <f t="shared" si="2"/>
        <v>fevereiro</v>
      </c>
      <c r="D42">
        <f t="shared" si="3"/>
        <v>2026</v>
      </c>
      <c r="E42" s="8"/>
      <c r="F42" s="8"/>
      <c r="G42" t="str">
        <f t="shared" si="0"/>
        <v>SIM</v>
      </c>
    </row>
    <row r="43" spans="1:7" x14ac:dyDescent="0.35">
      <c r="A43" s="9">
        <v>46064</v>
      </c>
      <c r="B43" t="str">
        <f t="shared" si="1"/>
        <v>quarta-feira</v>
      </c>
      <c r="C43" t="str">
        <f t="shared" si="2"/>
        <v>fevereiro</v>
      </c>
      <c r="D43">
        <f t="shared" si="3"/>
        <v>2026</v>
      </c>
      <c r="E43" s="8"/>
      <c r="F43" s="8"/>
      <c r="G43" t="str">
        <f t="shared" si="0"/>
        <v>SIM</v>
      </c>
    </row>
    <row r="44" spans="1:7" x14ac:dyDescent="0.35">
      <c r="A44" s="9">
        <v>46065</v>
      </c>
      <c r="B44" t="str">
        <f t="shared" si="1"/>
        <v>quinta-feira</v>
      </c>
      <c r="C44" t="str">
        <f t="shared" si="2"/>
        <v>fevereiro</v>
      </c>
      <c r="D44">
        <f t="shared" si="3"/>
        <v>2026</v>
      </c>
      <c r="E44" s="8"/>
      <c r="F44" s="8"/>
      <c r="G44" t="str">
        <f t="shared" si="0"/>
        <v>SIM</v>
      </c>
    </row>
    <row r="45" spans="1:7" x14ac:dyDescent="0.35">
      <c r="A45" s="9">
        <v>46066</v>
      </c>
      <c r="B45" t="str">
        <f t="shared" si="1"/>
        <v>sexta-feira</v>
      </c>
      <c r="C45" t="str">
        <f t="shared" si="2"/>
        <v>fevereiro</v>
      </c>
      <c r="D45">
        <f t="shared" si="3"/>
        <v>2026</v>
      </c>
      <c r="E45" s="8"/>
      <c r="F45" s="8"/>
      <c r="G45" t="str">
        <f t="shared" si="0"/>
        <v>SIM</v>
      </c>
    </row>
    <row r="46" spans="1:7" x14ac:dyDescent="0.35">
      <c r="A46" s="9">
        <v>46067</v>
      </c>
      <c r="B46" t="str">
        <f t="shared" si="1"/>
        <v>sábado</v>
      </c>
      <c r="C46" t="str">
        <f t="shared" si="2"/>
        <v>fevereiro</v>
      </c>
      <c r="D46">
        <f t="shared" si="3"/>
        <v>2026</v>
      </c>
      <c r="E46" s="8"/>
      <c r="F46" s="8"/>
      <c r="G46" t="str">
        <f t="shared" si="0"/>
        <v>NÃO</v>
      </c>
    </row>
    <row r="47" spans="1:7" x14ac:dyDescent="0.35">
      <c r="A47" s="9">
        <v>46068</v>
      </c>
      <c r="B47" t="str">
        <f t="shared" si="1"/>
        <v>domingo</v>
      </c>
      <c r="C47" t="str">
        <f t="shared" si="2"/>
        <v>fevereiro</v>
      </c>
      <c r="D47">
        <f t="shared" si="3"/>
        <v>2026</v>
      </c>
      <c r="E47" s="8"/>
      <c r="F47" s="8"/>
      <c r="G47" t="str">
        <f t="shared" si="0"/>
        <v>NÃO</v>
      </c>
    </row>
    <row r="48" spans="1:7" x14ac:dyDescent="0.35">
      <c r="A48" s="9">
        <v>46069</v>
      </c>
      <c r="B48" t="str">
        <f t="shared" si="1"/>
        <v>segunda-feira</v>
      </c>
      <c r="C48" t="str">
        <f t="shared" si="2"/>
        <v>fevereiro</v>
      </c>
      <c r="D48">
        <f t="shared" si="3"/>
        <v>2026</v>
      </c>
      <c r="E48" s="8" t="s">
        <v>31</v>
      </c>
      <c r="F48" s="8" t="s">
        <v>33</v>
      </c>
      <c r="G48" t="str">
        <f t="shared" si="0"/>
        <v>NÃO</v>
      </c>
    </row>
    <row r="49" spans="1:7" x14ac:dyDescent="0.35">
      <c r="A49" s="9">
        <v>46070</v>
      </c>
      <c r="B49" t="str">
        <f t="shared" si="1"/>
        <v>terça-feira</v>
      </c>
      <c r="C49" t="str">
        <f t="shared" si="2"/>
        <v>fevereiro</v>
      </c>
      <c r="D49">
        <f t="shared" si="3"/>
        <v>2026</v>
      </c>
      <c r="E49" s="8" t="s">
        <v>29</v>
      </c>
      <c r="F49" s="8" t="s">
        <v>34</v>
      </c>
      <c r="G49" t="str">
        <f t="shared" si="0"/>
        <v>NÃO</v>
      </c>
    </row>
    <row r="50" spans="1:7" x14ac:dyDescent="0.35">
      <c r="A50" s="9">
        <v>46071</v>
      </c>
      <c r="B50" t="str">
        <f t="shared" si="1"/>
        <v>quarta-feira</v>
      </c>
      <c r="C50" t="str">
        <f t="shared" si="2"/>
        <v>fevereiro</v>
      </c>
      <c r="D50">
        <f t="shared" si="3"/>
        <v>2026</v>
      </c>
      <c r="E50" s="8" t="s">
        <v>31</v>
      </c>
      <c r="F50" s="8" t="s">
        <v>35</v>
      </c>
      <c r="G50" t="str">
        <f t="shared" si="0"/>
        <v>NÃO</v>
      </c>
    </row>
    <row r="51" spans="1:7" x14ac:dyDescent="0.35">
      <c r="A51" s="9">
        <v>46072</v>
      </c>
      <c r="B51" t="str">
        <f t="shared" si="1"/>
        <v>quinta-feira</v>
      </c>
      <c r="C51" t="str">
        <f t="shared" si="2"/>
        <v>fevereiro</v>
      </c>
      <c r="D51">
        <f t="shared" si="3"/>
        <v>2026</v>
      </c>
      <c r="E51" s="8"/>
      <c r="F51" s="8"/>
      <c r="G51" t="str">
        <f t="shared" si="0"/>
        <v>SIM</v>
      </c>
    </row>
    <row r="52" spans="1:7" x14ac:dyDescent="0.35">
      <c r="A52" s="9">
        <v>46073</v>
      </c>
      <c r="B52" t="str">
        <f t="shared" si="1"/>
        <v>sexta-feira</v>
      </c>
      <c r="C52" t="str">
        <f t="shared" si="2"/>
        <v>fevereiro</v>
      </c>
      <c r="D52">
        <f t="shared" si="3"/>
        <v>2026</v>
      </c>
      <c r="E52" s="8"/>
      <c r="F52" s="8"/>
      <c r="G52" t="str">
        <f t="shared" si="0"/>
        <v>SIM</v>
      </c>
    </row>
    <row r="53" spans="1:7" x14ac:dyDescent="0.35">
      <c r="A53" s="9">
        <v>46074</v>
      </c>
      <c r="B53" t="str">
        <f t="shared" si="1"/>
        <v>sábado</v>
      </c>
      <c r="C53" t="str">
        <f t="shared" si="2"/>
        <v>fevereiro</v>
      </c>
      <c r="D53">
        <f t="shared" si="3"/>
        <v>2026</v>
      </c>
      <c r="E53" s="8"/>
      <c r="F53" s="8"/>
      <c r="G53" t="str">
        <f t="shared" si="0"/>
        <v>NÃO</v>
      </c>
    </row>
    <row r="54" spans="1:7" x14ac:dyDescent="0.35">
      <c r="A54" s="9">
        <v>46075</v>
      </c>
      <c r="B54" t="str">
        <f t="shared" si="1"/>
        <v>domingo</v>
      </c>
      <c r="C54" t="str">
        <f t="shared" si="2"/>
        <v>fevereiro</v>
      </c>
      <c r="D54">
        <f t="shared" si="3"/>
        <v>2026</v>
      </c>
      <c r="E54" s="8"/>
      <c r="F54" s="8"/>
      <c r="G54" t="str">
        <f t="shared" si="0"/>
        <v>NÃO</v>
      </c>
    </row>
    <row r="55" spans="1:7" x14ac:dyDescent="0.35">
      <c r="A55" s="9">
        <v>46076</v>
      </c>
      <c r="B55" t="str">
        <f t="shared" si="1"/>
        <v>segunda-feira</v>
      </c>
      <c r="C55" t="str">
        <f t="shared" si="2"/>
        <v>fevereiro</v>
      </c>
      <c r="D55">
        <f t="shared" si="3"/>
        <v>2026</v>
      </c>
      <c r="E55" s="8"/>
      <c r="F55" s="8"/>
      <c r="G55" t="str">
        <f t="shared" si="0"/>
        <v>SIM</v>
      </c>
    </row>
    <row r="56" spans="1:7" x14ac:dyDescent="0.35">
      <c r="A56" s="9">
        <v>46077</v>
      </c>
      <c r="B56" t="str">
        <f t="shared" si="1"/>
        <v>terça-feira</v>
      </c>
      <c r="C56" t="str">
        <f t="shared" si="2"/>
        <v>fevereiro</v>
      </c>
      <c r="D56">
        <f t="shared" si="3"/>
        <v>2026</v>
      </c>
      <c r="E56" s="8"/>
      <c r="F56" s="8"/>
      <c r="G56" t="str">
        <f t="shared" si="0"/>
        <v>SIM</v>
      </c>
    </row>
    <row r="57" spans="1:7" x14ac:dyDescent="0.35">
      <c r="A57" s="9">
        <v>46078</v>
      </c>
      <c r="B57" t="str">
        <f t="shared" si="1"/>
        <v>quarta-feira</v>
      </c>
      <c r="C57" t="str">
        <f t="shared" si="2"/>
        <v>fevereiro</v>
      </c>
      <c r="D57">
        <f t="shared" si="3"/>
        <v>2026</v>
      </c>
      <c r="E57" s="8"/>
      <c r="F57" s="8"/>
      <c r="G57" t="str">
        <f t="shared" si="0"/>
        <v>SIM</v>
      </c>
    </row>
    <row r="58" spans="1:7" x14ac:dyDescent="0.35">
      <c r="A58" s="9">
        <v>46079</v>
      </c>
      <c r="B58" t="str">
        <f t="shared" si="1"/>
        <v>quinta-feira</v>
      </c>
      <c r="C58" t="str">
        <f t="shared" si="2"/>
        <v>fevereiro</v>
      </c>
      <c r="D58">
        <f t="shared" si="3"/>
        <v>2026</v>
      </c>
      <c r="E58" s="8"/>
      <c r="F58" s="8"/>
      <c r="G58" t="str">
        <f t="shared" si="0"/>
        <v>SIM</v>
      </c>
    </row>
    <row r="59" spans="1:7" x14ac:dyDescent="0.35">
      <c r="A59" s="9">
        <v>46080</v>
      </c>
      <c r="B59" t="str">
        <f t="shared" si="1"/>
        <v>sexta-feira</v>
      </c>
      <c r="C59" t="str">
        <f t="shared" si="2"/>
        <v>fevereiro</v>
      </c>
      <c r="D59">
        <f t="shared" si="3"/>
        <v>2026</v>
      </c>
      <c r="E59" s="8"/>
      <c r="F59" s="8"/>
      <c r="G59" t="str">
        <f t="shared" si="0"/>
        <v>SIM</v>
      </c>
    </row>
    <row r="60" spans="1:7" x14ac:dyDescent="0.35">
      <c r="A60" s="9">
        <v>46081</v>
      </c>
      <c r="B60" t="str">
        <f t="shared" si="1"/>
        <v>sábado</v>
      </c>
      <c r="C60" t="str">
        <f t="shared" si="2"/>
        <v>fevereiro</v>
      </c>
      <c r="D60">
        <f t="shared" si="3"/>
        <v>2026</v>
      </c>
      <c r="E60" s="8"/>
      <c r="F60" s="8"/>
      <c r="G60" t="str">
        <f t="shared" si="0"/>
        <v>NÃO</v>
      </c>
    </row>
    <row r="61" spans="1:7" x14ac:dyDescent="0.35">
      <c r="A61" s="9">
        <v>46082</v>
      </c>
      <c r="B61" t="str">
        <f t="shared" si="1"/>
        <v>domingo</v>
      </c>
      <c r="C61" t="str">
        <f t="shared" si="2"/>
        <v>março</v>
      </c>
      <c r="D61">
        <f t="shared" si="3"/>
        <v>2026</v>
      </c>
      <c r="E61" s="8"/>
      <c r="F61" s="8"/>
      <c r="G61" t="str">
        <f t="shared" si="0"/>
        <v>NÃO</v>
      </c>
    </row>
    <row r="62" spans="1:7" x14ac:dyDescent="0.35">
      <c r="A62" s="9">
        <v>46083</v>
      </c>
      <c r="B62" t="str">
        <f t="shared" si="1"/>
        <v>segunda-feira</v>
      </c>
      <c r="C62" t="str">
        <f t="shared" si="2"/>
        <v>março</v>
      </c>
      <c r="D62">
        <f t="shared" si="3"/>
        <v>2026</v>
      </c>
      <c r="E62" s="8"/>
      <c r="F62" s="8"/>
      <c r="G62" t="str">
        <f t="shared" si="0"/>
        <v>SIM</v>
      </c>
    </row>
    <row r="63" spans="1:7" x14ac:dyDescent="0.35">
      <c r="A63" s="9">
        <v>46084</v>
      </c>
      <c r="B63" t="str">
        <f t="shared" si="1"/>
        <v>terça-feira</v>
      </c>
      <c r="C63" t="str">
        <f t="shared" si="2"/>
        <v>março</v>
      </c>
      <c r="D63">
        <f t="shared" si="3"/>
        <v>2026</v>
      </c>
      <c r="E63" s="8"/>
      <c r="F63" s="8"/>
      <c r="G63" t="str">
        <f t="shared" si="0"/>
        <v>SIM</v>
      </c>
    </row>
    <row r="64" spans="1:7" x14ac:dyDescent="0.35">
      <c r="A64" s="9">
        <v>46085</v>
      </c>
      <c r="B64" t="str">
        <f t="shared" si="1"/>
        <v>quarta-feira</v>
      </c>
      <c r="C64" t="str">
        <f t="shared" si="2"/>
        <v>março</v>
      </c>
      <c r="D64">
        <f t="shared" si="3"/>
        <v>2026</v>
      </c>
      <c r="E64" s="8"/>
      <c r="F64" s="8"/>
      <c r="G64" t="str">
        <f t="shared" si="0"/>
        <v>SIM</v>
      </c>
    </row>
    <row r="65" spans="1:7" x14ac:dyDescent="0.35">
      <c r="A65" s="9">
        <v>46086</v>
      </c>
      <c r="B65" t="str">
        <f t="shared" si="1"/>
        <v>quinta-feira</v>
      </c>
      <c r="C65" t="str">
        <f t="shared" si="2"/>
        <v>março</v>
      </c>
      <c r="D65">
        <f t="shared" si="3"/>
        <v>2026</v>
      </c>
      <c r="E65" s="8"/>
      <c r="F65" s="8"/>
      <c r="G65" t="str">
        <f t="shared" si="0"/>
        <v>SIM</v>
      </c>
    </row>
    <row r="66" spans="1:7" x14ac:dyDescent="0.35">
      <c r="A66" s="9">
        <v>46087</v>
      </c>
      <c r="B66" t="str">
        <f t="shared" si="1"/>
        <v>sexta-feira</v>
      </c>
      <c r="C66" t="str">
        <f t="shared" si="2"/>
        <v>março</v>
      </c>
      <c r="D66">
        <f t="shared" si="3"/>
        <v>2026</v>
      </c>
      <c r="E66" s="8"/>
      <c r="F66" s="8"/>
      <c r="G66" t="str">
        <f t="shared" ref="G66:G129" si="4">IF(OR(E66="Feriado",E66="Recesso",B66="domingo",B66="sábado"),"NÃO","SIM")</f>
        <v>SIM</v>
      </c>
    </row>
    <row r="67" spans="1:7" x14ac:dyDescent="0.35">
      <c r="A67" s="9">
        <v>46088</v>
      </c>
      <c r="B67" t="str">
        <f t="shared" ref="B67:B130" si="5">TEXT(A67,"dddd")</f>
        <v>sábado</v>
      </c>
      <c r="C67" t="str">
        <f t="shared" ref="C67:C130" si="6">TEXT(A67,"mmmm")</f>
        <v>março</v>
      </c>
      <c r="D67">
        <f t="shared" ref="D67:D130" si="7">YEAR(A67)</f>
        <v>2026</v>
      </c>
      <c r="E67" s="8"/>
      <c r="F67" s="8"/>
      <c r="G67" t="str">
        <f t="shared" si="4"/>
        <v>NÃO</v>
      </c>
    </row>
    <row r="68" spans="1:7" x14ac:dyDescent="0.35">
      <c r="A68" s="9">
        <v>46089</v>
      </c>
      <c r="B68" t="str">
        <f t="shared" si="5"/>
        <v>domingo</v>
      </c>
      <c r="C68" t="str">
        <f t="shared" si="6"/>
        <v>março</v>
      </c>
      <c r="D68">
        <f t="shared" si="7"/>
        <v>2026</v>
      </c>
      <c r="E68" s="8"/>
      <c r="F68" s="8"/>
      <c r="G68" t="str">
        <f t="shared" si="4"/>
        <v>NÃO</v>
      </c>
    </row>
    <row r="69" spans="1:7" x14ac:dyDescent="0.35">
      <c r="A69" s="9">
        <v>46090</v>
      </c>
      <c r="B69" t="str">
        <f t="shared" si="5"/>
        <v>segunda-feira</v>
      </c>
      <c r="C69" t="str">
        <f t="shared" si="6"/>
        <v>março</v>
      </c>
      <c r="D69">
        <f t="shared" si="7"/>
        <v>2026</v>
      </c>
      <c r="E69" s="8"/>
      <c r="F69" s="8"/>
      <c r="G69" t="str">
        <f t="shared" si="4"/>
        <v>SIM</v>
      </c>
    </row>
    <row r="70" spans="1:7" x14ac:dyDescent="0.35">
      <c r="A70" s="9">
        <v>46091</v>
      </c>
      <c r="B70" t="str">
        <f t="shared" si="5"/>
        <v>terça-feira</v>
      </c>
      <c r="C70" t="str">
        <f t="shared" si="6"/>
        <v>março</v>
      </c>
      <c r="D70">
        <f t="shared" si="7"/>
        <v>2026</v>
      </c>
      <c r="E70" s="8"/>
      <c r="F70" s="8"/>
      <c r="G70" t="str">
        <f t="shared" si="4"/>
        <v>SIM</v>
      </c>
    </row>
    <row r="71" spans="1:7" x14ac:dyDescent="0.35">
      <c r="A71" s="9">
        <v>46092</v>
      </c>
      <c r="B71" t="str">
        <f t="shared" si="5"/>
        <v>quarta-feira</v>
      </c>
      <c r="C71" t="str">
        <f t="shared" si="6"/>
        <v>março</v>
      </c>
      <c r="D71">
        <f t="shared" si="7"/>
        <v>2026</v>
      </c>
      <c r="E71" s="8" t="s">
        <v>200</v>
      </c>
      <c r="F71" s="8" t="s">
        <v>201</v>
      </c>
      <c r="G71" t="str">
        <f t="shared" si="4"/>
        <v>SIM</v>
      </c>
    </row>
    <row r="72" spans="1:7" x14ac:dyDescent="0.35">
      <c r="A72" s="9">
        <v>46093</v>
      </c>
      <c r="B72" t="str">
        <f t="shared" si="5"/>
        <v>quinta-feira</v>
      </c>
      <c r="C72" t="str">
        <f t="shared" si="6"/>
        <v>março</v>
      </c>
      <c r="D72">
        <f t="shared" si="7"/>
        <v>2026</v>
      </c>
      <c r="E72" s="8"/>
      <c r="F72" s="8"/>
      <c r="G72" t="str">
        <f t="shared" si="4"/>
        <v>SIM</v>
      </c>
    </row>
    <row r="73" spans="1:7" x14ac:dyDescent="0.35">
      <c r="A73" s="9">
        <v>46094</v>
      </c>
      <c r="B73" t="str">
        <f t="shared" si="5"/>
        <v>sexta-feira</v>
      </c>
      <c r="C73" t="str">
        <f t="shared" si="6"/>
        <v>março</v>
      </c>
      <c r="D73">
        <f t="shared" si="7"/>
        <v>2026</v>
      </c>
      <c r="E73" s="8"/>
      <c r="F73" s="8"/>
      <c r="G73" t="str">
        <f t="shared" si="4"/>
        <v>SIM</v>
      </c>
    </row>
    <row r="74" spans="1:7" x14ac:dyDescent="0.35">
      <c r="A74" s="9">
        <v>46095</v>
      </c>
      <c r="B74" t="str">
        <f t="shared" si="5"/>
        <v>sábado</v>
      </c>
      <c r="C74" t="str">
        <f t="shared" si="6"/>
        <v>março</v>
      </c>
      <c r="D74">
        <f t="shared" si="7"/>
        <v>2026</v>
      </c>
      <c r="E74" s="8"/>
      <c r="F74" s="8"/>
      <c r="G74" t="str">
        <f t="shared" si="4"/>
        <v>NÃO</v>
      </c>
    </row>
    <row r="75" spans="1:7" x14ac:dyDescent="0.35">
      <c r="A75" s="9">
        <v>46096</v>
      </c>
      <c r="B75" t="str">
        <f t="shared" si="5"/>
        <v>domingo</v>
      </c>
      <c r="C75" t="str">
        <f t="shared" si="6"/>
        <v>março</v>
      </c>
      <c r="D75">
        <f t="shared" si="7"/>
        <v>2026</v>
      </c>
      <c r="E75" s="8"/>
      <c r="F75" s="8"/>
      <c r="G75" t="str">
        <f t="shared" si="4"/>
        <v>NÃO</v>
      </c>
    </row>
    <row r="76" spans="1:7" x14ac:dyDescent="0.35">
      <c r="A76" s="9">
        <v>46097</v>
      </c>
      <c r="B76" t="str">
        <f t="shared" si="5"/>
        <v>segunda-feira</v>
      </c>
      <c r="C76" t="str">
        <f t="shared" si="6"/>
        <v>março</v>
      </c>
      <c r="D76">
        <f t="shared" si="7"/>
        <v>2026</v>
      </c>
      <c r="E76" s="8"/>
      <c r="F76" s="8"/>
      <c r="G76" t="str">
        <f t="shared" si="4"/>
        <v>SIM</v>
      </c>
    </row>
    <row r="77" spans="1:7" x14ac:dyDescent="0.35">
      <c r="A77" s="9">
        <v>46098</v>
      </c>
      <c r="B77" t="str">
        <f t="shared" si="5"/>
        <v>terça-feira</v>
      </c>
      <c r="C77" t="str">
        <f t="shared" si="6"/>
        <v>março</v>
      </c>
      <c r="D77">
        <f t="shared" si="7"/>
        <v>2026</v>
      </c>
      <c r="E77" s="8"/>
      <c r="F77" s="8"/>
      <c r="G77" t="str">
        <f t="shared" si="4"/>
        <v>SIM</v>
      </c>
    </row>
    <row r="78" spans="1:7" x14ac:dyDescent="0.35">
      <c r="A78" s="9">
        <v>46099</v>
      </c>
      <c r="B78" t="str">
        <f t="shared" si="5"/>
        <v>quarta-feira</v>
      </c>
      <c r="C78" t="str">
        <f t="shared" si="6"/>
        <v>março</v>
      </c>
      <c r="D78">
        <f t="shared" si="7"/>
        <v>2026</v>
      </c>
      <c r="E78" s="8"/>
      <c r="F78" s="8"/>
      <c r="G78" t="str">
        <f t="shared" si="4"/>
        <v>SIM</v>
      </c>
    </row>
    <row r="79" spans="1:7" x14ac:dyDescent="0.35">
      <c r="A79" s="9">
        <v>46100</v>
      </c>
      <c r="B79" t="str">
        <f t="shared" si="5"/>
        <v>quinta-feira</v>
      </c>
      <c r="C79" t="str">
        <f t="shared" si="6"/>
        <v>março</v>
      </c>
      <c r="D79">
        <f t="shared" si="7"/>
        <v>2026</v>
      </c>
      <c r="E79" s="8"/>
      <c r="F79" s="8"/>
      <c r="G79" t="str">
        <f t="shared" si="4"/>
        <v>SIM</v>
      </c>
    </row>
    <row r="80" spans="1:7" x14ac:dyDescent="0.35">
      <c r="A80" s="9">
        <v>46101</v>
      </c>
      <c r="B80" t="str">
        <f t="shared" si="5"/>
        <v>sexta-feira</v>
      </c>
      <c r="C80" t="str">
        <f t="shared" si="6"/>
        <v>março</v>
      </c>
      <c r="D80">
        <f t="shared" si="7"/>
        <v>2026</v>
      </c>
      <c r="E80" s="8"/>
      <c r="F80" s="8"/>
      <c r="G80" t="str">
        <f t="shared" si="4"/>
        <v>SIM</v>
      </c>
    </row>
    <row r="81" spans="1:7" x14ac:dyDescent="0.35">
      <c r="A81" s="9">
        <v>46102</v>
      </c>
      <c r="B81" t="str">
        <f t="shared" si="5"/>
        <v>sábado</v>
      </c>
      <c r="C81" t="str">
        <f t="shared" si="6"/>
        <v>março</v>
      </c>
      <c r="D81">
        <f t="shared" si="7"/>
        <v>2026</v>
      </c>
      <c r="E81" s="8"/>
      <c r="F81" s="8"/>
      <c r="G81" t="str">
        <f t="shared" si="4"/>
        <v>NÃO</v>
      </c>
    </row>
    <row r="82" spans="1:7" x14ac:dyDescent="0.35">
      <c r="A82" s="9">
        <v>46103</v>
      </c>
      <c r="B82" t="str">
        <f t="shared" si="5"/>
        <v>domingo</v>
      </c>
      <c r="C82" t="str">
        <f t="shared" si="6"/>
        <v>março</v>
      </c>
      <c r="D82">
        <f t="shared" si="7"/>
        <v>2026</v>
      </c>
      <c r="E82" s="8"/>
      <c r="F82" s="8"/>
      <c r="G82" t="str">
        <f t="shared" si="4"/>
        <v>NÃO</v>
      </c>
    </row>
    <row r="83" spans="1:7" x14ac:dyDescent="0.35">
      <c r="A83" s="9">
        <v>46104</v>
      </c>
      <c r="B83" t="str">
        <f t="shared" si="5"/>
        <v>segunda-feira</v>
      </c>
      <c r="C83" t="str">
        <f t="shared" si="6"/>
        <v>março</v>
      </c>
      <c r="D83">
        <f t="shared" si="7"/>
        <v>2026</v>
      </c>
      <c r="E83" s="8"/>
      <c r="F83" s="8"/>
      <c r="G83" t="str">
        <f t="shared" si="4"/>
        <v>SIM</v>
      </c>
    </row>
    <row r="84" spans="1:7" x14ac:dyDescent="0.35">
      <c r="A84" s="9">
        <v>46105</v>
      </c>
      <c r="B84" t="str">
        <f t="shared" si="5"/>
        <v>terça-feira</v>
      </c>
      <c r="C84" t="str">
        <f t="shared" si="6"/>
        <v>março</v>
      </c>
      <c r="D84">
        <f t="shared" si="7"/>
        <v>2026</v>
      </c>
      <c r="E84" s="8"/>
      <c r="F84" s="8"/>
      <c r="G84" t="str">
        <f t="shared" si="4"/>
        <v>SIM</v>
      </c>
    </row>
    <row r="85" spans="1:7" x14ac:dyDescent="0.35">
      <c r="A85" s="9">
        <v>46106</v>
      </c>
      <c r="B85" t="str">
        <f t="shared" si="5"/>
        <v>quarta-feira</v>
      </c>
      <c r="C85" t="str">
        <f t="shared" si="6"/>
        <v>março</v>
      </c>
      <c r="D85">
        <f t="shared" si="7"/>
        <v>2026</v>
      </c>
      <c r="E85" s="8"/>
      <c r="F85" s="8"/>
      <c r="G85" t="str">
        <f t="shared" si="4"/>
        <v>SIM</v>
      </c>
    </row>
    <row r="86" spans="1:7" x14ac:dyDescent="0.35">
      <c r="A86" s="9">
        <v>46107</v>
      </c>
      <c r="B86" t="str">
        <f t="shared" si="5"/>
        <v>quinta-feira</v>
      </c>
      <c r="C86" t="str">
        <f t="shared" si="6"/>
        <v>março</v>
      </c>
      <c r="D86">
        <f t="shared" si="7"/>
        <v>2026</v>
      </c>
      <c r="E86" s="8"/>
      <c r="F86" s="8"/>
      <c r="G86" t="str">
        <f t="shared" si="4"/>
        <v>SIM</v>
      </c>
    </row>
    <row r="87" spans="1:7" x14ac:dyDescent="0.35">
      <c r="A87" s="9">
        <v>46108</v>
      </c>
      <c r="B87" t="str">
        <f t="shared" si="5"/>
        <v>sexta-feira</v>
      </c>
      <c r="C87" t="str">
        <f t="shared" si="6"/>
        <v>março</v>
      </c>
      <c r="D87">
        <f t="shared" si="7"/>
        <v>2026</v>
      </c>
      <c r="E87" s="8"/>
      <c r="F87" s="8"/>
      <c r="G87" t="str">
        <f t="shared" si="4"/>
        <v>SIM</v>
      </c>
    </row>
    <row r="88" spans="1:7" x14ac:dyDescent="0.35">
      <c r="A88" s="9">
        <v>46109</v>
      </c>
      <c r="B88" t="str">
        <f t="shared" si="5"/>
        <v>sábado</v>
      </c>
      <c r="C88" t="str">
        <f t="shared" si="6"/>
        <v>março</v>
      </c>
      <c r="D88">
        <f t="shared" si="7"/>
        <v>2026</v>
      </c>
      <c r="E88" s="8"/>
      <c r="F88" s="8"/>
      <c r="G88" t="str">
        <f t="shared" si="4"/>
        <v>NÃO</v>
      </c>
    </row>
    <row r="89" spans="1:7" x14ac:dyDescent="0.35">
      <c r="A89" s="9">
        <v>46110</v>
      </c>
      <c r="B89" t="str">
        <f t="shared" si="5"/>
        <v>domingo</v>
      </c>
      <c r="C89" t="str">
        <f t="shared" si="6"/>
        <v>março</v>
      </c>
      <c r="D89">
        <f t="shared" si="7"/>
        <v>2026</v>
      </c>
      <c r="E89" s="8"/>
      <c r="F89" s="8"/>
      <c r="G89" t="str">
        <f t="shared" si="4"/>
        <v>NÃO</v>
      </c>
    </row>
    <row r="90" spans="1:7" x14ac:dyDescent="0.35">
      <c r="A90" s="9">
        <v>46111</v>
      </c>
      <c r="B90" t="str">
        <f t="shared" si="5"/>
        <v>segunda-feira</v>
      </c>
      <c r="C90" t="str">
        <f t="shared" si="6"/>
        <v>março</v>
      </c>
      <c r="D90">
        <f t="shared" si="7"/>
        <v>2026</v>
      </c>
      <c r="E90" s="8"/>
      <c r="F90" s="8"/>
      <c r="G90" t="str">
        <f t="shared" si="4"/>
        <v>SIM</v>
      </c>
    </row>
    <row r="91" spans="1:7" x14ac:dyDescent="0.35">
      <c r="A91" s="9">
        <v>46112</v>
      </c>
      <c r="B91" t="str">
        <f t="shared" si="5"/>
        <v>terça-feira</v>
      </c>
      <c r="C91" t="str">
        <f t="shared" si="6"/>
        <v>março</v>
      </c>
      <c r="D91">
        <f t="shared" si="7"/>
        <v>2026</v>
      </c>
      <c r="E91" s="8"/>
      <c r="F91" s="8"/>
      <c r="G91" t="str">
        <f t="shared" si="4"/>
        <v>SIM</v>
      </c>
    </row>
    <row r="92" spans="1:7" x14ac:dyDescent="0.35">
      <c r="A92" s="9">
        <v>46113</v>
      </c>
      <c r="B92" t="str">
        <f t="shared" si="5"/>
        <v>quarta-feira</v>
      </c>
      <c r="C92" t="str">
        <f t="shared" si="6"/>
        <v>abril</v>
      </c>
      <c r="D92">
        <f t="shared" si="7"/>
        <v>2026</v>
      </c>
      <c r="E92" s="8"/>
      <c r="F92" s="8"/>
      <c r="G92" t="str">
        <f t="shared" si="4"/>
        <v>SIM</v>
      </c>
    </row>
    <row r="93" spans="1:7" x14ac:dyDescent="0.35">
      <c r="A93" s="9">
        <v>46114</v>
      </c>
      <c r="B93" t="str">
        <f t="shared" si="5"/>
        <v>quinta-feira</v>
      </c>
      <c r="C93" t="str">
        <f t="shared" si="6"/>
        <v>abril</v>
      </c>
      <c r="D93">
        <f t="shared" si="7"/>
        <v>2026</v>
      </c>
      <c r="E93" s="8"/>
      <c r="F93" s="8"/>
      <c r="G93" t="str">
        <f t="shared" si="4"/>
        <v>SIM</v>
      </c>
    </row>
    <row r="94" spans="1:7" x14ac:dyDescent="0.35">
      <c r="A94" s="9">
        <v>46115</v>
      </c>
      <c r="B94" t="str">
        <f t="shared" si="5"/>
        <v>sexta-feira</v>
      </c>
      <c r="C94" t="str">
        <f t="shared" si="6"/>
        <v>abril</v>
      </c>
      <c r="D94">
        <f t="shared" si="7"/>
        <v>2026</v>
      </c>
      <c r="E94" s="8" t="s">
        <v>29</v>
      </c>
      <c r="F94" s="8" t="s">
        <v>36</v>
      </c>
      <c r="G94" t="str">
        <f t="shared" si="4"/>
        <v>NÃO</v>
      </c>
    </row>
    <row r="95" spans="1:7" x14ac:dyDescent="0.35">
      <c r="A95" s="9">
        <v>46116</v>
      </c>
      <c r="B95" t="str">
        <f t="shared" si="5"/>
        <v>sábado</v>
      </c>
      <c r="C95" t="str">
        <f t="shared" si="6"/>
        <v>abril</v>
      </c>
      <c r="D95">
        <f t="shared" si="7"/>
        <v>2026</v>
      </c>
      <c r="E95" s="8"/>
      <c r="F95" s="8"/>
      <c r="G95" t="str">
        <f t="shared" si="4"/>
        <v>NÃO</v>
      </c>
    </row>
    <row r="96" spans="1:7" x14ac:dyDescent="0.35">
      <c r="A96" s="9">
        <v>46117</v>
      </c>
      <c r="B96" t="str">
        <f t="shared" si="5"/>
        <v>domingo</v>
      </c>
      <c r="C96" t="str">
        <f t="shared" si="6"/>
        <v>abril</v>
      </c>
      <c r="D96">
        <f t="shared" si="7"/>
        <v>2026</v>
      </c>
      <c r="E96" s="8"/>
      <c r="F96" s="8"/>
      <c r="G96" t="str">
        <f t="shared" si="4"/>
        <v>NÃO</v>
      </c>
    </row>
    <row r="97" spans="1:7" x14ac:dyDescent="0.35">
      <c r="A97" s="9">
        <v>46118</v>
      </c>
      <c r="B97" t="str">
        <f t="shared" si="5"/>
        <v>segunda-feira</v>
      </c>
      <c r="C97" t="str">
        <f t="shared" si="6"/>
        <v>abril</v>
      </c>
      <c r="D97">
        <f t="shared" si="7"/>
        <v>2026</v>
      </c>
      <c r="E97" s="8"/>
      <c r="F97" s="8"/>
      <c r="G97" t="str">
        <f t="shared" si="4"/>
        <v>SIM</v>
      </c>
    </row>
    <row r="98" spans="1:7" x14ac:dyDescent="0.35">
      <c r="A98" s="9">
        <v>46119</v>
      </c>
      <c r="B98" t="str">
        <f t="shared" si="5"/>
        <v>terça-feira</v>
      </c>
      <c r="C98" t="str">
        <f t="shared" si="6"/>
        <v>abril</v>
      </c>
      <c r="D98">
        <f t="shared" si="7"/>
        <v>2026</v>
      </c>
      <c r="E98" s="8"/>
      <c r="F98" s="8"/>
      <c r="G98" t="str">
        <f t="shared" si="4"/>
        <v>SIM</v>
      </c>
    </row>
    <row r="99" spans="1:7" x14ac:dyDescent="0.35">
      <c r="A99" s="9">
        <v>46120</v>
      </c>
      <c r="B99" t="str">
        <f t="shared" si="5"/>
        <v>quarta-feira</v>
      </c>
      <c r="C99" t="str">
        <f t="shared" si="6"/>
        <v>abril</v>
      </c>
      <c r="D99">
        <f t="shared" si="7"/>
        <v>2026</v>
      </c>
      <c r="E99" s="8"/>
      <c r="F99" s="8"/>
      <c r="G99" t="str">
        <f t="shared" si="4"/>
        <v>SIM</v>
      </c>
    </row>
    <row r="100" spans="1:7" x14ac:dyDescent="0.35">
      <c r="A100" s="9">
        <v>46121</v>
      </c>
      <c r="B100" t="str">
        <f t="shared" si="5"/>
        <v>quinta-feira</v>
      </c>
      <c r="C100" t="str">
        <f t="shared" si="6"/>
        <v>abril</v>
      </c>
      <c r="D100">
        <f t="shared" si="7"/>
        <v>2026</v>
      </c>
      <c r="E100" s="8"/>
      <c r="F100" s="8"/>
      <c r="G100" t="str">
        <f t="shared" si="4"/>
        <v>SIM</v>
      </c>
    </row>
    <row r="101" spans="1:7" x14ac:dyDescent="0.35">
      <c r="A101" s="9">
        <v>46122</v>
      </c>
      <c r="B101" t="str">
        <f t="shared" si="5"/>
        <v>sexta-feira</v>
      </c>
      <c r="C101" t="str">
        <f t="shared" si="6"/>
        <v>abril</v>
      </c>
      <c r="D101">
        <f t="shared" si="7"/>
        <v>2026</v>
      </c>
      <c r="E101" s="8"/>
      <c r="F101" s="8"/>
      <c r="G101" t="str">
        <f t="shared" si="4"/>
        <v>SIM</v>
      </c>
    </row>
    <row r="102" spans="1:7" x14ac:dyDescent="0.35">
      <c r="A102" s="9">
        <v>46123</v>
      </c>
      <c r="B102" t="str">
        <f t="shared" si="5"/>
        <v>sábado</v>
      </c>
      <c r="C102" t="str">
        <f t="shared" si="6"/>
        <v>abril</v>
      </c>
      <c r="D102">
        <f t="shared" si="7"/>
        <v>2026</v>
      </c>
      <c r="E102" s="8"/>
      <c r="F102" s="8"/>
      <c r="G102" t="str">
        <f t="shared" si="4"/>
        <v>NÃO</v>
      </c>
    </row>
    <row r="103" spans="1:7" x14ac:dyDescent="0.35">
      <c r="A103" s="9">
        <v>46124</v>
      </c>
      <c r="B103" t="str">
        <f t="shared" si="5"/>
        <v>domingo</v>
      </c>
      <c r="C103" t="str">
        <f t="shared" si="6"/>
        <v>abril</v>
      </c>
      <c r="D103">
        <f t="shared" si="7"/>
        <v>2026</v>
      </c>
      <c r="E103" s="8"/>
      <c r="F103" s="8"/>
      <c r="G103" t="str">
        <f t="shared" si="4"/>
        <v>NÃO</v>
      </c>
    </row>
    <row r="104" spans="1:7" x14ac:dyDescent="0.35">
      <c r="A104" s="9">
        <v>46125</v>
      </c>
      <c r="B104" t="str">
        <f t="shared" si="5"/>
        <v>segunda-feira</v>
      </c>
      <c r="C104" t="str">
        <f t="shared" si="6"/>
        <v>abril</v>
      </c>
      <c r="D104">
        <f t="shared" si="7"/>
        <v>2026</v>
      </c>
      <c r="E104" s="8"/>
      <c r="F104" s="8"/>
      <c r="G104" t="str">
        <f t="shared" si="4"/>
        <v>SIM</v>
      </c>
    </row>
    <row r="105" spans="1:7" x14ac:dyDescent="0.35">
      <c r="A105" s="9">
        <v>46126</v>
      </c>
      <c r="B105" t="str">
        <f t="shared" si="5"/>
        <v>terça-feira</v>
      </c>
      <c r="C105" t="str">
        <f t="shared" si="6"/>
        <v>abril</v>
      </c>
      <c r="D105">
        <f t="shared" si="7"/>
        <v>2026</v>
      </c>
      <c r="E105" s="8"/>
      <c r="F105" s="8"/>
      <c r="G105" t="str">
        <f t="shared" si="4"/>
        <v>SIM</v>
      </c>
    </row>
    <row r="106" spans="1:7" x14ac:dyDescent="0.35">
      <c r="A106" s="9">
        <v>46127</v>
      </c>
      <c r="B106" t="str">
        <f t="shared" si="5"/>
        <v>quarta-feira</v>
      </c>
      <c r="C106" t="str">
        <f t="shared" si="6"/>
        <v>abril</v>
      </c>
      <c r="D106">
        <f t="shared" si="7"/>
        <v>2026</v>
      </c>
      <c r="E106" s="8"/>
      <c r="F106" s="8"/>
      <c r="G106" t="str">
        <f t="shared" si="4"/>
        <v>SIM</v>
      </c>
    </row>
    <row r="107" spans="1:7" x14ac:dyDescent="0.35">
      <c r="A107" s="9">
        <v>46128</v>
      </c>
      <c r="B107" t="str">
        <f t="shared" si="5"/>
        <v>quinta-feira</v>
      </c>
      <c r="C107" t="str">
        <f t="shared" si="6"/>
        <v>abril</v>
      </c>
      <c r="D107">
        <f t="shared" si="7"/>
        <v>2026</v>
      </c>
      <c r="E107" s="8"/>
      <c r="F107" s="8"/>
      <c r="G107" t="str">
        <f t="shared" si="4"/>
        <v>SIM</v>
      </c>
    </row>
    <row r="108" spans="1:7" x14ac:dyDescent="0.35">
      <c r="A108" s="9">
        <v>46129</v>
      </c>
      <c r="B108" t="str">
        <f t="shared" si="5"/>
        <v>sexta-feira</v>
      </c>
      <c r="C108" t="str">
        <f t="shared" si="6"/>
        <v>abril</v>
      </c>
      <c r="D108">
        <f t="shared" si="7"/>
        <v>2026</v>
      </c>
      <c r="E108" s="8"/>
      <c r="F108" s="8"/>
      <c r="G108" t="str">
        <f t="shared" si="4"/>
        <v>SIM</v>
      </c>
    </row>
    <row r="109" spans="1:7" x14ac:dyDescent="0.35">
      <c r="A109" s="9">
        <v>46130</v>
      </c>
      <c r="B109" t="str">
        <f t="shared" si="5"/>
        <v>sábado</v>
      </c>
      <c r="C109" t="str">
        <f t="shared" si="6"/>
        <v>abril</v>
      </c>
      <c r="D109">
        <f t="shared" si="7"/>
        <v>2026</v>
      </c>
      <c r="E109" s="8"/>
      <c r="F109" s="8"/>
      <c r="G109" t="str">
        <f t="shared" si="4"/>
        <v>NÃO</v>
      </c>
    </row>
    <row r="110" spans="1:7" x14ac:dyDescent="0.35">
      <c r="A110" s="9">
        <v>46131</v>
      </c>
      <c r="B110" t="str">
        <f t="shared" si="5"/>
        <v>domingo</v>
      </c>
      <c r="C110" t="str">
        <f t="shared" si="6"/>
        <v>abril</v>
      </c>
      <c r="D110">
        <f t="shared" si="7"/>
        <v>2026</v>
      </c>
      <c r="E110" s="8"/>
      <c r="F110" s="8"/>
      <c r="G110" t="str">
        <f t="shared" si="4"/>
        <v>NÃO</v>
      </c>
    </row>
    <row r="111" spans="1:7" x14ac:dyDescent="0.35">
      <c r="A111" s="9">
        <v>46132</v>
      </c>
      <c r="B111" t="str">
        <f t="shared" si="5"/>
        <v>segunda-feira</v>
      </c>
      <c r="C111" t="str">
        <f t="shared" si="6"/>
        <v>abril</v>
      </c>
      <c r="D111">
        <f t="shared" si="7"/>
        <v>2026</v>
      </c>
      <c r="E111" s="8"/>
      <c r="F111" s="8"/>
      <c r="G111" t="str">
        <f t="shared" si="4"/>
        <v>SIM</v>
      </c>
    </row>
    <row r="112" spans="1:7" x14ac:dyDescent="0.35">
      <c r="A112" s="9">
        <v>46133</v>
      </c>
      <c r="B112" t="str">
        <f t="shared" si="5"/>
        <v>terça-feira</v>
      </c>
      <c r="C112" t="str">
        <f t="shared" si="6"/>
        <v>abril</v>
      </c>
      <c r="D112">
        <f t="shared" si="7"/>
        <v>2026</v>
      </c>
      <c r="E112" s="8" t="s">
        <v>29</v>
      </c>
      <c r="F112" s="8" t="s">
        <v>37</v>
      </c>
      <c r="G112" t="str">
        <f t="shared" si="4"/>
        <v>NÃO</v>
      </c>
    </row>
    <row r="113" spans="1:7" x14ac:dyDescent="0.35">
      <c r="A113" s="9">
        <v>46134</v>
      </c>
      <c r="B113" t="str">
        <f t="shared" si="5"/>
        <v>quarta-feira</v>
      </c>
      <c r="C113" t="str">
        <f t="shared" si="6"/>
        <v>abril</v>
      </c>
      <c r="D113">
        <f t="shared" si="7"/>
        <v>2026</v>
      </c>
      <c r="E113" s="8"/>
      <c r="F113" s="8"/>
      <c r="G113" t="str">
        <f t="shared" si="4"/>
        <v>SIM</v>
      </c>
    </row>
    <row r="114" spans="1:7" x14ac:dyDescent="0.35">
      <c r="A114" s="9">
        <v>46135</v>
      </c>
      <c r="B114" t="str">
        <f t="shared" si="5"/>
        <v>quinta-feira</v>
      </c>
      <c r="C114" t="str">
        <f t="shared" si="6"/>
        <v>abril</v>
      </c>
      <c r="D114">
        <f t="shared" si="7"/>
        <v>2026</v>
      </c>
      <c r="E114" s="8" t="s">
        <v>29</v>
      </c>
      <c r="F114" s="8" t="s">
        <v>38</v>
      </c>
      <c r="G114" t="str">
        <f t="shared" si="4"/>
        <v>NÃO</v>
      </c>
    </row>
    <row r="115" spans="1:7" x14ac:dyDescent="0.35">
      <c r="A115" s="9">
        <v>46136</v>
      </c>
      <c r="B115" t="str">
        <f t="shared" si="5"/>
        <v>sexta-feira</v>
      </c>
      <c r="C115" t="str">
        <f t="shared" si="6"/>
        <v>abril</v>
      </c>
      <c r="D115">
        <f t="shared" si="7"/>
        <v>2026</v>
      </c>
      <c r="E115" s="8"/>
      <c r="F115" s="8"/>
      <c r="G115" t="str">
        <f t="shared" si="4"/>
        <v>SIM</v>
      </c>
    </row>
    <row r="116" spans="1:7" x14ac:dyDescent="0.35">
      <c r="A116" s="9">
        <v>46137</v>
      </c>
      <c r="B116" t="str">
        <f t="shared" si="5"/>
        <v>sábado</v>
      </c>
      <c r="C116" t="str">
        <f t="shared" si="6"/>
        <v>abril</v>
      </c>
      <c r="D116">
        <f t="shared" si="7"/>
        <v>2026</v>
      </c>
      <c r="E116" s="8"/>
      <c r="F116" s="8"/>
      <c r="G116" t="str">
        <f t="shared" si="4"/>
        <v>NÃO</v>
      </c>
    </row>
    <row r="117" spans="1:7" x14ac:dyDescent="0.35">
      <c r="A117" s="9">
        <v>46138</v>
      </c>
      <c r="B117" t="str">
        <f t="shared" si="5"/>
        <v>domingo</v>
      </c>
      <c r="C117" t="str">
        <f t="shared" si="6"/>
        <v>abril</v>
      </c>
      <c r="D117">
        <f t="shared" si="7"/>
        <v>2026</v>
      </c>
      <c r="E117" s="8"/>
      <c r="F117" s="8"/>
      <c r="G117" t="str">
        <f t="shared" si="4"/>
        <v>NÃO</v>
      </c>
    </row>
    <row r="118" spans="1:7" x14ac:dyDescent="0.35">
      <c r="A118" s="9">
        <v>46139</v>
      </c>
      <c r="B118" t="str">
        <f t="shared" si="5"/>
        <v>segunda-feira</v>
      </c>
      <c r="C118" t="str">
        <f t="shared" si="6"/>
        <v>abril</v>
      </c>
      <c r="D118">
        <f t="shared" si="7"/>
        <v>2026</v>
      </c>
      <c r="E118" s="8"/>
      <c r="F118" s="8"/>
      <c r="G118" t="str">
        <f t="shared" si="4"/>
        <v>SIM</v>
      </c>
    </row>
    <row r="119" spans="1:7" x14ac:dyDescent="0.35">
      <c r="A119" s="9">
        <v>46140</v>
      </c>
      <c r="B119" t="str">
        <f t="shared" si="5"/>
        <v>terça-feira</v>
      </c>
      <c r="C119" t="str">
        <f t="shared" si="6"/>
        <v>abril</v>
      </c>
      <c r="D119">
        <f t="shared" si="7"/>
        <v>2026</v>
      </c>
      <c r="E119" s="8"/>
      <c r="F119" s="8"/>
      <c r="G119" t="str">
        <f t="shared" si="4"/>
        <v>SIM</v>
      </c>
    </row>
    <row r="120" spans="1:7" x14ac:dyDescent="0.35">
      <c r="A120" s="9">
        <v>46141</v>
      </c>
      <c r="B120" t="str">
        <f t="shared" si="5"/>
        <v>quarta-feira</v>
      </c>
      <c r="C120" t="str">
        <f t="shared" si="6"/>
        <v>abril</v>
      </c>
      <c r="D120">
        <f t="shared" si="7"/>
        <v>2026</v>
      </c>
      <c r="E120" s="8"/>
      <c r="F120" s="8"/>
      <c r="G120" t="str">
        <f t="shared" si="4"/>
        <v>SIM</v>
      </c>
    </row>
    <row r="121" spans="1:7" x14ac:dyDescent="0.35">
      <c r="A121" s="9">
        <v>46142</v>
      </c>
      <c r="B121" t="str">
        <f t="shared" si="5"/>
        <v>quinta-feira</v>
      </c>
      <c r="C121" t="str">
        <f t="shared" si="6"/>
        <v>abril</v>
      </c>
      <c r="D121">
        <f t="shared" si="7"/>
        <v>2026</v>
      </c>
      <c r="E121" s="8"/>
      <c r="F121" s="8"/>
      <c r="G121" t="str">
        <f t="shared" si="4"/>
        <v>SIM</v>
      </c>
    </row>
    <row r="122" spans="1:7" x14ac:dyDescent="0.35">
      <c r="A122" s="9">
        <v>46143</v>
      </c>
      <c r="B122" t="str">
        <f t="shared" si="5"/>
        <v>sexta-feira</v>
      </c>
      <c r="C122" t="str">
        <f t="shared" si="6"/>
        <v>maio</v>
      </c>
      <c r="D122">
        <f t="shared" si="7"/>
        <v>2026</v>
      </c>
      <c r="E122" s="8" t="s">
        <v>29</v>
      </c>
      <c r="F122" s="8" t="s">
        <v>39</v>
      </c>
      <c r="G122" t="str">
        <f t="shared" si="4"/>
        <v>NÃO</v>
      </c>
    </row>
    <row r="123" spans="1:7" x14ac:dyDescent="0.35">
      <c r="A123" s="9">
        <v>46144</v>
      </c>
      <c r="B123" t="str">
        <f t="shared" si="5"/>
        <v>sábado</v>
      </c>
      <c r="C123" t="str">
        <f t="shared" si="6"/>
        <v>maio</v>
      </c>
      <c r="D123">
        <f t="shared" si="7"/>
        <v>2026</v>
      </c>
      <c r="E123" s="8"/>
      <c r="F123" s="8"/>
      <c r="G123" t="str">
        <f t="shared" si="4"/>
        <v>NÃO</v>
      </c>
    </row>
    <row r="124" spans="1:7" x14ac:dyDescent="0.35">
      <c r="A124" s="9">
        <v>46145</v>
      </c>
      <c r="B124" t="str">
        <f t="shared" si="5"/>
        <v>domingo</v>
      </c>
      <c r="C124" t="str">
        <f t="shared" si="6"/>
        <v>maio</v>
      </c>
      <c r="D124">
        <f t="shared" si="7"/>
        <v>2026</v>
      </c>
      <c r="E124" s="8"/>
      <c r="F124" s="8"/>
      <c r="G124" t="str">
        <f t="shared" si="4"/>
        <v>NÃO</v>
      </c>
    </row>
    <row r="125" spans="1:7" x14ac:dyDescent="0.35">
      <c r="A125" s="9">
        <v>46146</v>
      </c>
      <c r="B125" t="str">
        <f t="shared" si="5"/>
        <v>segunda-feira</v>
      </c>
      <c r="C125" t="str">
        <f t="shared" si="6"/>
        <v>maio</v>
      </c>
      <c r="D125">
        <f t="shared" si="7"/>
        <v>2026</v>
      </c>
      <c r="E125" s="8"/>
      <c r="F125" s="8"/>
      <c r="G125" t="str">
        <f t="shared" si="4"/>
        <v>SIM</v>
      </c>
    </row>
    <row r="126" spans="1:7" x14ac:dyDescent="0.35">
      <c r="A126" s="9">
        <v>46147</v>
      </c>
      <c r="B126" t="str">
        <f t="shared" si="5"/>
        <v>terça-feira</v>
      </c>
      <c r="C126" t="str">
        <f t="shared" si="6"/>
        <v>maio</v>
      </c>
      <c r="D126">
        <f t="shared" si="7"/>
        <v>2026</v>
      </c>
      <c r="E126" s="8"/>
      <c r="F126" s="8"/>
      <c r="G126" t="str">
        <f t="shared" si="4"/>
        <v>SIM</v>
      </c>
    </row>
    <row r="127" spans="1:7" x14ac:dyDescent="0.35">
      <c r="A127" s="9">
        <v>46148</v>
      </c>
      <c r="B127" t="str">
        <f t="shared" si="5"/>
        <v>quarta-feira</v>
      </c>
      <c r="C127" t="str">
        <f t="shared" si="6"/>
        <v>maio</v>
      </c>
      <c r="D127">
        <f t="shared" si="7"/>
        <v>2026</v>
      </c>
      <c r="E127" s="8"/>
      <c r="F127" s="8"/>
      <c r="G127" t="str">
        <f t="shared" si="4"/>
        <v>SIM</v>
      </c>
    </row>
    <row r="128" spans="1:7" x14ac:dyDescent="0.35">
      <c r="A128" s="9">
        <v>46149</v>
      </c>
      <c r="B128" t="str">
        <f t="shared" si="5"/>
        <v>quinta-feira</v>
      </c>
      <c r="C128" t="str">
        <f t="shared" si="6"/>
        <v>maio</v>
      </c>
      <c r="D128">
        <f t="shared" si="7"/>
        <v>2026</v>
      </c>
      <c r="E128" s="8"/>
      <c r="F128" s="8"/>
      <c r="G128" t="str">
        <f t="shared" si="4"/>
        <v>SIM</v>
      </c>
    </row>
    <row r="129" spans="1:7" x14ac:dyDescent="0.35">
      <c r="A129" s="9">
        <v>46150</v>
      </c>
      <c r="B129" t="str">
        <f t="shared" si="5"/>
        <v>sexta-feira</v>
      </c>
      <c r="C129" t="str">
        <f t="shared" si="6"/>
        <v>maio</v>
      </c>
      <c r="D129">
        <f t="shared" si="7"/>
        <v>2026</v>
      </c>
      <c r="E129" s="8"/>
      <c r="F129" s="8"/>
      <c r="G129" t="str">
        <f t="shared" si="4"/>
        <v>SIM</v>
      </c>
    </row>
    <row r="130" spans="1:7" x14ac:dyDescent="0.35">
      <c r="A130" s="9">
        <v>46151</v>
      </c>
      <c r="B130" t="str">
        <f t="shared" si="5"/>
        <v>sábado</v>
      </c>
      <c r="C130" t="str">
        <f t="shared" si="6"/>
        <v>maio</v>
      </c>
      <c r="D130">
        <f t="shared" si="7"/>
        <v>2026</v>
      </c>
      <c r="E130" s="8"/>
      <c r="F130" s="8"/>
      <c r="G130" t="str">
        <f t="shared" ref="G130:G193" si="8">IF(OR(E130="Feriado",E130="Recesso",B130="domingo",B130="sábado"),"NÃO","SIM")</f>
        <v>NÃO</v>
      </c>
    </row>
    <row r="131" spans="1:7" x14ac:dyDescent="0.35">
      <c r="A131" s="9">
        <v>46152</v>
      </c>
      <c r="B131" t="str">
        <f t="shared" ref="B131:B194" si="9">TEXT(A131,"dddd")</f>
        <v>domingo</v>
      </c>
      <c r="C131" t="str">
        <f t="shared" ref="C131:C194" si="10">TEXT(A131,"mmmm")</f>
        <v>maio</v>
      </c>
      <c r="D131">
        <f t="shared" ref="D131:D194" si="11">YEAR(A131)</f>
        <v>2026</v>
      </c>
      <c r="E131" s="8"/>
      <c r="F131" s="8"/>
      <c r="G131" t="str">
        <f t="shared" si="8"/>
        <v>NÃO</v>
      </c>
    </row>
    <row r="132" spans="1:7" x14ac:dyDescent="0.35">
      <c r="A132" s="9">
        <v>46153</v>
      </c>
      <c r="B132" t="str">
        <f t="shared" si="9"/>
        <v>segunda-feira</v>
      </c>
      <c r="C132" t="str">
        <f t="shared" si="10"/>
        <v>maio</v>
      </c>
      <c r="D132">
        <f t="shared" si="11"/>
        <v>2026</v>
      </c>
      <c r="E132" s="8"/>
      <c r="F132" s="8"/>
      <c r="G132" t="str">
        <f t="shared" si="8"/>
        <v>SIM</v>
      </c>
    </row>
    <row r="133" spans="1:7" x14ac:dyDescent="0.35">
      <c r="A133" s="9">
        <v>46154</v>
      </c>
      <c r="B133" t="str">
        <f t="shared" si="9"/>
        <v>terça-feira</v>
      </c>
      <c r="C133" t="str">
        <f t="shared" si="10"/>
        <v>maio</v>
      </c>
      <c r="D133">
        <f t="shared" si="11"/>
        <v>2026</v>
      </c>
      <c r="E133" s="8"/>
      <c r="F133" s="8"/>
      <c r="G133" t="str">
        <f t="shared" si="8"/>
        <v>SIM</v>
      </c>
    </row>
    <row r="134" spans="1:7" x14ac:dyDescent="0.35">
      <c r="A134" s="9">
        <v>46155</v>
      </c>
      <c r="B134" t="str">
        <f t="shared" si="9"/>
        <v>quarta-feira</v>
      </c>
      <c r="C134" t="str">
        <f t="shared" si="10"/>
        <v>maio</v>
      </c>
      <c r="D134">
        <f t="shared" si="11"/>
        <v>2026</v>
      </c>
      <c r="E134" s="8"/>
      <c r="F134" s="8"/>
      <c r="G134" t="str">
        <f t="shared" si="8"/>
        <v>SIM</v>
      </c>
    </row>
    <row r="135" spans="1:7" x14ac:dyDescent="0.35">
      <c r="A135" s="9">
        <v>46156</v>
      </c>
      <c r="B135" t="str">
        <f t="shared" si="9"/>
        <v>quinta-feira</v>
      </c>
      <c r="C135" t="str">
        <f t="shared" si="10"/>
        <v>maio</v>
      </c>
      <c r="D135">
        <f t="shared" si="11"/>
        <v>2026</v>
      </c>
      <c r="E135" s="8"/>
      <c r="F135" s="8"/>
      <c r="G135" t="str">
        <f t="shared" si="8"/>
        <v>SIM</v>
      </c>
    </row>
    <row r="136" spans="1:7" x14ac:dyDescent="0.35">
      <c r="A136" s="9">
        <v>46157</v>
      </c>
      <c r="B136" t="str">
        <f t="shared" si="9"/>
        <v>sexta-feira</v>
      </c>
      <c r="C136" t="str">
        <f t="shared" si="10"/>
        <v>maio</v>
      </c>
      <c r="D136">
        <f t="shared" si="11"/>
        <v>2026</v>
      </c>
      <c r="E136" s="8"/>
      <c r="F136" s="8"/>
      <c r="G136" t="str">
        <f t="shared" si="8"/>
        <v>SIM</v>
      </c>
    </row>
    <row r="137" spans="1:7" x14ac:dyDescent="0.35">
      <c r="A137" s="9">
        <v>46158</v>
      </c>
      <c r="B137" t="str">
        <f t="shared" si="9"/>
        <v>sábado</v>
      </c>
      <c r="C137" t="str">
        <f t="shared" si="10"/>
        <v>maio</v>
      </c>
      <c r="D137">
        <f t="shared" si="11"/>
        <v>2026</v>
      </c>
      <c r="E137" s="8"/>
      <c r="F137" s="8"/>
      <c r="G137" t="str">
        <f t="shared" si="8"/>
        <v>NÃO</v>
      </c>
    </row>
    <row r="138" spans="1:7" x14ac:dyDescent="0.35">
      <c r="A138" s="9">
        <v>46159</v>
      </c>
      <c r="B138" t="str">
        <f t="shared" si="9"/>
        <v>domingo</v>
      </c>
      <c r="C138" t="str">
        <f t="shared" si="10"/>
        <v>maio</v>
      </c>
      <c r="D138">
        <f t="shared" si="11"/>
        <v>2026</v>
      </c>
      <c r="E138" s="8"/>
      <c r="F138" s="8"/>
      <c r="G138" t="str">
        <f t="shared" si="8"/>
        <v>NÃO</v>
      </c>
    </row>
    <row r="139" spans="1:7" x14ac:dyDescent="0.35">
      <c r="A139" s="9">
        <v>46160</v>
      </c>
      <c r="B139" t="str">
        <f t="shared" si="9"/>
        <v>segunda-feira</v>
      </c>
      <c r="C139" t="str">
        <f t="shared" si="10"/>
        <v>maio</v>
      </c>
      <c r="D139">
        <f t="shared" si="11"/>
        <v>2026</v>
      </c>
      <c r="E139" s="8"/>
      <c r="F139" s="8"/>
      <c r="G139" t="str">
        <f t="shared" si="8"/>
        <v>SIM</v>
      </c>
    </row>
    <row r="140" spans="1:7" x14ac:dyDescent="0.35">
      <c r="A140" s="9">
        <v>46161</v>
      </c>
      <c r="B140" t="str">
        <f t="shared" si="9"/>
        <v>terça-feira</v>
      </c>
      <c r="C140" t="str">
        <f t="shared" si="10"/>
        <v>maio</v>
      </c>
      <c r="D140">
        <f t="shared" si="11"/>
        <v>2026</v>
      </c>
      <c r="E140" s="8"/>
      <c r="F140" s="8"/>
      <c r="G140" t="str">
        <f t="shared" si="8"/>
        <v>SIM</v>
      </c>
    </row>
    <row r="141" spans="1:7" x14ac:dyDescent="0.35">
      <c r="A141" s="9">
        <v>46162</v>
      </c>
      <c r="B141" t="str">
        <f t="shared" si="9"/>
        <v>quarta-feira</v>
      </c>
      <c r="C141" t="str">
        <f t="shared" si="10"/>
        <v>maio</v>
      </c>
      <c r="D141">
        <f t="shared" si="11"/>
        <v>2026</v>
      </c>
      <c r="E141" s="8"/>
      <c r="F141" s="8"/>
      <c r="G141" t="str">
        <f t="shared" si="8"/>
        <v>SIM</v>
      </c>
    </row>
    <row r="142" spans="1:7" x14ac:dyDescent="0.35">
      <c r="A142" s="9">
        <v>46163</v>
      </c>
      <c r="B142" t="str">
        <f t="shared" si="9"/>
        <v>quinta-feira</v>
      </c>
      <c r="C142" t="str">
        <f t="shared" si="10"/>
        <v>maio</v>
      </c>
      <c r="D142">
        <f t="shared" si="11"/>
        <v>2026</v>
      </c>
      <c r="E142" s="8"/>
      <c r="F142" s="8"/>
      <c r="G142" t="str">
        <f t="shared" si="8"/>
        <v>SIM</v>
      </c>
    </row>
    <row r="143" spans="1:7" x14ac:dyDescent="0.35">
      <c r="A143" s="9">
        <v>46164</v>
      </c>
      <c r="B143" t="str">
        <f t="shared" si="9"/>
        <v>sexta-feira</v>
      </c>
      <c r="C143" t="str">
        <f t="shared" si="10"/>
        <v>maio</v>
      </c>
      <c r="D143">
        <f t="shared" si="11"/>
        <v>2026</v>
      </c>
      <c r="E143" s="8"/>
      <c r="F143" s="8"/>
      <c r="G143" t="str">
        <f t="shared" si="8"/>
        <v>SIM</v>
      </c>
    </row>
    <row r="144" spans="1:7" x14ac:dyDescent="0.35">
      <c r="A144" s="9">
        <v>46165</v>
      </c>
      <c r="B144" t="str">
        <f t="shared" si="9"/>
        <v>sábado</v>
      </c>
      <c r="C144" t="str">
        <f t="shared" si="10"/>
        <v>maio</v>
      </c>
      <c r="D144">
        <f t="shared" si="11"/>
        <v>2026</v>
      </c>
      <c r="E144" s="8"/>
      <c r="F144" s="8"/>
      <c r="G144" t="str">
        <f t="shared" si="8"/>
        <v>NÃO</v>
      </c>
    </row>
    <row r="145" spans="1:7" x14ac:dyDescent="0.35">
      <c r="A145" s="9">
        <v>46166</v>
      </c>
      <c r="B145" t="str">
        <f t="shared" si="9"/>
        <v>domingo</v>
      </c>
      <c r="C145" t="str">
        <f t="shared" si="10"/>
        <v>maio</v>
      </c>
      <c r="D145">
        <f t="shared" si="11"/>
        <v>2026</v>
      </c>
      <c r="E145" s="8"/>
      <c r="F145" s="8"/>
      <c r="G145" t="str">
        <f t="shared" si="8"/>
        <v>NÃO</v>
      </c>
    </row>
    <row r="146" spans="1:7" x14ac:dyDescent="0.35">
      <c r="A146" s="9">
        <v>46167</v>
      </c>
      <c r="B146" t="str">
        <f t="shared" si="9"/>
        <v>segunda-feira</v>
      </c>
      <c r="C146" t="str">
        <f t="shared" si="10"/>
        <v>maio</v>
      </c>
      <c r="D146">
        <f t="shared" si="11"/>
        <v>2026</v>
      </c>
      <c r="E146" s="8"/>
      <c r="F146" s="8"/>
      <c r="G146" t="str">
        <f t="shared" si="8"/>
        <v>SIM</v>
      </c>
    </row>
    <row r="147" spans="1:7" x14ac:dyDescent="0.35">
      <c r="A147" s="9">
        <v>46168</v>
      </c>
      <c r="B147" t="str">
        <f t="shared" si="9"/>
        <v>terça-feira</v>
      </c>
      <c r="C147" t="str">
        <f t="shared" si="10"/>
        <v>maio</v>
      </c>
      <c r="D147">
        <f t="shared" si="11"/>
        <v>2026</v>
      </c>
      <c r="E147" s="8"/>
      <c r="F147" s="8"/>
      <c r="G147" t="str">
        <f t="shared" si="8"/>
        <v>SIM</v>
      </c>
    </row>
    <row r="148" spans="1:7" x14ac:dyDescent="0.35">
      <c r="A148" s="9">
        <v>46169</v>
      </c>
      <c r="B148" t="str">
        <f t="shared" si="9"/>
        <v>quarta-feira</v>
      </c>
      <c r="C148" t="str">
        <f t="shared" si="10"/>
        <v>maio</v>
      </c>
      <c r="D148">
        <f t="shared" si="11"/>
        <v>2026</v>
      </c>
      <c r="E148" s="8"/>
      <c r="F148" s="8"/>
      <c r="G148" t="str">
        <f t="shared" si="8"/>
        <v>SIM</v>
      </c>
    </row>
    <row r="149" spans="1:7" x14ac:dyDescent="0.35">
      <c r="A149" s="9">
        <v>46170</v>
      </c>
      <c r="B149" t="str">
        <f t="shared" si="9"/>
        <v>quinta-feira</v>
      </c>
      <c r="C149" t="str">
        <f t="shared" si="10"/>
        <v>maio</v>
      </c>
      <c r="D149">
        <f t="shared" si="11"/>
        <v>2026</v>
      </c>
      <c r="E149" s="8"/>
      <c r="F149" s="8"/>
      <c r="G149" t="str">
        <f t="shared" si="8"/>
        <v>SIM</v>
      </c>
    </row>
    <row r="150" spans="1:7" x14ac:dyDescent="0.35">
      <c r="A150" s="9">
        <v>46171</v>
      </c>
      <c r="B150" t="str">
        <f t="shared" si="9"/>
        <v>sexta-feira</v>
      </c>
      <c r="C150" t="str">
        <f t="shared" si="10"/>
        <v>maio</v>
      </c>
      <c r="D150">
        <f t="shared" si="11"/>
        <v>2026</v>
      </c>
      <c r="E150" s="8"/>
      <c r="F150" s="8"/>
      <c r="G150" t="str">
        <f t="shared" si="8"/>
        <v>SIM</v>
      </c>
    </row>
    <row r="151" spans="1:7" x14ac:dyDescent="0.35">
      <c r="A151" s="9">
        <v>46172</v>
      </c>
      <c r="B151" t="str">
        <f t="shared" si="9"/>
        <v>sábado</v>
      </c>
      <c r="C151" t="str">
        <f t="shared" si="10"/>
        <v>maio</v>
      </c>
      <c r="D151">
        <f t="shared" si="11"/>
        <v>2026</v>
      </c>
      <c r="E151" s="8"/>
      <c r="F151" s="8"/>
      <c r="G151" t="str">
        <f t="shared" si="8"/>
        <v>NÃO</v>
      </c>
    </row>
    <row r="152" spans="1:7" x14ac:dyDescent="0.35">
      <c r="A152" s="9">
        <v>46173</v>
      </c>
      <c r="B152" t="str">
        <f t="shared" si="9"/>
        <v>domingo</v>
      </c>
      <c r="C152" t="str">
        <f t="shared" si="10"/>
        <v>maio</v>
      </c>
      <c r="D152">
        <f t="shared" si="11"/>
        <v>2026</v>
      </c>
      <c r="E152" s="8"/>
      <c r="F152" s="8"/>
      <c r="G152" t="str">
        <f t="shared" si="8"/>
        <v>NÃO</v>
      </c>
    </row>
    <row r="153" spans="1:7" x14ac:dyDescent="0.35">
      <c r="A153" s="9">
        <v>46174</v>
      </c>
      <c r="B153" t="str">
        <f t="shared" si="9"/>
        <v>segunda-feira</v>
      </c>
      <c r="C153" t="str">
        <f t="shared" si="10"/>
        <v>junho</v>
      </c>
      <c r="D153">
        <f t="shared" si="11"/>
        <v>2026</v>
      </c>
      <c r="E153" s="8"/>
      <c r="F153" s="8"/>
      <c r="G153" t="str">
        <f t="shared" si="8"/>
        <v>SIM</v>
      </c>
    </row>
    <row r="154" spans="1:7" x14ac:dyDescent="0.35">
      <c r="A154" s="9">
        <v>46175</v>
      </c>
      <c r="B154" t="str">
        <f t="shared" si="9"/>
        <v>terça-feira</v>
      </c>
      <c r="C154" t="str">
        <f t="shared" si="10"/>
        <v>junho</v>
      </c>
      <c r="D154">
        <f t="shared" si="11"/>
        <v>2026</v>
      </c>
      <c r="E154" s="8"/>
      <c r="F154" s="8"/>
      <c r="G154" t="str">
        <f t="shared" si="8"/>
        <v>SIM</v>
      </c>
    </row>
    <row r="155" spans="1:7" x14ac:dyDescent="0.35">
      <c r="A155" s="9">
        <v>46176</v>
      </c>
      <c r="B155" t="str">
        <f t="shared" si="9"/>
        <v>quarta-feira</v>
      </c>
      <c r="C155" t="str">
        <f t="shared" si="10"/>
        <v>junho</v>
      </c>
      <c r="D155">
        <f t="shared" si="11"/>
        <v>2026</v>
      </c>
      <c r="E155" s="8"/>
      <c r="F155" s="8"/>
      <c r="G155" t="str">
        <f t="shared" si="8"/>
        <v>SIM</v>
      </c>
    </row>
    <row r="156" spans="1:7" x14ac:dyDescent="0.35">
      <c r="A156" s="9">
        <v>46177</v>
      </c>
      <c r="B156" t="str">
        <f t="shared" si="9"/>
        <v>quinta-feira</v>
      </c>
      <c r="C156" t="str">
        <f t="shared" si="10"/>
        <v>junho</v>
      </c>
      <c r="D156">
        <f t="shared" si="11"/>
        <v>2026</v>
      </c>
      <c r="E156" s="8" t="s">
        <v>29</v>
      </c>
      <c r="F156" s="8" t="s">
        <v>40</v>
      </c>
      <c r="G156" t="str">
        <f t="shared" si="8"/>
        <v>NÃO</v>
      </c>
    </row>
    <row r="157" spans="1:7" x14ac:dyDescent="0.35">
      <c r="A157" s="9">
        <v>46178</v>
      </c>
      <c r="B157" t="str">
        <f t="shared" si="9"/>
        <v>sexta-feira</v>
      </c>
      <c r="C157" t="str">
        <f t="shared" si="10"/>
        <v>junho</v>
      </c>
      <c r="D157">
        <f t="shared" si="11"/>
        <v>2026</v>
      </c>
      <c r="E157" s="8"/>
      <c r="F157" s="8"/>
      <c r="G157" t="str">
        <f t="shared" si="8"/>
        <v>SIM</v>
      </c>
    </row>
    <row r="158" spans="1:7" x14ac:dyDescent="0.35">
      <c r="A158" s="9">
        <v>46179</v>
      </c>
      <c r="B158" t="str">
        <f t="shared" si="9"/>
        <v>sábado</v>
      </c>
      <c r="C158" t="str">
        <f t="shared" si="10"/>
        <v>junho</v>
      </c>
      <c r="D158">
        <f t="shared" si="11"/>
        <v>2026</v>
      </c>
      <c r="E158" s="8"/>
      <c r="F158" s="8"/>
      <c r="G158" t="str">
        <f t="shared" si="8"/>
        <v>NÃO</v>
      </c>
    </row>
    <row r="159" spans="1:7" x14ac:dyDescent="0.35">
      <c r="A159" s="9">
        <v>46180</v>
      </c>
      <c r="B159" t="str">
        <f t="shared" si="9"/>
        <v>domingo</v>
      </c>
      <c r="C159" t="str">
        <f t="shared" si="10"/>
        <v>junho</v>
      </c>
      <c r="D159">
        <f t="shared" si="11"/>
        <v>2026</v>
      </c>
      <c r="E159" s="8"/>
      <c r="F159" s="8"/>
      <c r="G159" t="str">
        <f t="shared" si="8"/>
        <v>NÃO</v>
      </c>
    </row>
    <row r="160" spans="1:7" x14ac:dyDescent="0.35">
      <c r="A160" s="9">
        <v>46181</v>
      </c>
      <c r="B160" t="str">
        <f t="shared" si="9"/>
        <v>segunda-feira</v>
      </c>
      <c r="C160" t="str">
        <f t="shared" si="10"/>
        <v>junho</v>
      </c>
      <c r="D160">
        <f t="shared" si="11"/>
        <v>2026</v>
      </c>
      <c r="E160" s="8"/>
      <c r="F160" s="8"/>
      <c r="G160" t="str">
        <f t="shared" si="8"/>
        <v>SIM</v>
      </c>
    </row>
    <row r="161" spans="1:7" x14ac:dyDescent="0.35">
      <c r="A161" s="9">
        <v>46182</v>
      </c>
      <c r="B161" t="str">
        <f t="shared" si="9"/>
        <v>terça-feira</v>
      </c>
      <c r="C161" t="str">
        <f t="shared" si="10"/>
        <v>junho</v>
      </c>
      <c r="D161">
        <f t="shared" si="11"/>
        <v>2026</v>
      </c>
      <c r="E161" s="8"/>
      <c r="F161" s="8"/>
      <c r="G161" t="str">
        <f t="shared" si="8"/>
        <v>SIM</v>
      </c>
    </row>
    <row r="162" spans="1:7" x14ac:dyDescent="0.35">
      <c r="A162" s="9">
        <v>46183</v>
      </c>
      <c r="B162" t="str">
        <f t="shared" si="9"/>
        <v>quarta-feira</v>
      </c>
      <c r="C162" t="str">
        <f t="shared" si="10"/>
        <v>junho</v>
      </c>
      <c r="D162">
        <f t="shared" si="11"/>
        <v>2026</v>
      </c>
      <c r="E162" s="8"/>
      <c r="F162" s="8"/>
      <c r="G162" t="str">
        <f t="shared" si="8"/>
        <v>SIM</v>
      </c>
    </row>
    <row r="163" spans="1:7" x14ac:dyDescent="0.35">
      <c r="A163" s="9">
        <v>46184</v>
      </c>
      <c r="B163" t="str">
        <f t="shared" si="9"/>
        <v>quinta-feira</v>
      </c>
      <c r="C163" t="str">
        <f t="shared" si="10"/>
        <v>junho</v>
      </c>
      <c r="D163">
        <f t="shared" si="11"/>
        <v>2026</v>
      </c>
      <c r="E163" s="8"/>
      <c r="F163" s="8"/>
      <c r="G163" t="str">
        <f t="shared" si="8"/>
        <v>SIM</v>
      </c>
    </row>
    <row r="164" spans="1:7" x14ac:dyDescent="0.35">
      <c r="A164" s="9">
        <v>46185</v>
      </c>
      <c r="B164" t="str">
        <f t="shared" si="9"/>
        <v>sexta-feira</v>
      </c>
      <c r="C164" t="str">
        <f t="shared" si="10"/>
        <v>junho</v>
      </c>
      <c r="D164">
        <f t="shared" si="11"/>
        <v>2026</v>
      </c>
      <c r="E164" s="8"/>
      <c r="F164" s="8"/>
      <c r="G164" t="str">
        <f t="shared" si="8"/>
        <v>SIM</v>
      </c>
    </row>
    <row r="165" spans="1:7" x14ac:dyDescent="0.35">
      <c r="A165" s="9">
        <v>46186</v>
      </c>
      <c r="B165" t="str">
        <f t="shared" si="9"/>
        <v>sábado</v>
      </c>
      <c r="C165" t="str">
        <f t="shared" si="10"/>
        <v>junho</v>
      </c>
      <c r="D165">
        <f t="shared" si="11"/>
        <v>2026</v>
      </c>
      <c r="E165" s="8"/>
      <c r="F165" s="8"/>
      <c r="G165" t="str">
        <f t="shared" si="8"/>
        <v>NÃO</v>
      </c>
    </row>
    <row r="166" spans="1:7" x14ac:dyDescent="0.35">
      <c r="A166" s="9">
        <v>46187</v>
      </c>
      <c r="B166" t="str">
        <f t="shared" si="9"/>
        <v>domingo</v>
      </c>
      <c r="C166" t="str">
        <f t="shared" si="10"/>
        <v>junho</v>
      </c>
      <c r="D166">
        <f t="shared" si="11"/>
        <v>2026</v>
      </c>
      <c r="E166" s="8"/>
      <c r="F166" s="8"/>
      <c r="G166" t="str">
        <f t="shared" si="8"/>
        <v>NÃO</v>
      </c>
    </row>
    <row r="167" spans="1:7" x14ac:dyDescent="0.35">
      <c r="A167" s="9">
        <v>46188</v>
      </c>
      <c r="B167" t="str">
        <f t="shared" si="9"/>
        <v>segunda-feira</v>
      </c>
      <c r="C167" t="str">
        <f t="shared" si="10"/>
        <v>junho</v>
      </c>
      <c r="D167">
        <f t="shared" si="11"/>
        <v>2026</v>
      </c>
      <c r="E167" s="8"/>
      <c r="F167" s="8"/>
      <c r="G167" t="str">
        <f t="shared" si="8"/>
        <v>SIM</v>
      </c>
    </row>
    <row r="168" spans="1:7" x14ac:dyDescent="0.35">
      <c r="A168" s="9">
        <v>46189</v>
      </c>
      <c r="B168" t="str">
        <f t="shared" si="9"/>
        <v>terça-feira</v>
      </c>
      <c r="C168" t="str">
        <f t="shared" si="10"/>
        <v>junho</v>
      </c>
      <c r="D168">
        <f t="shared" si="11"/>
        <v>2026</v>
      </c>
      <c r="E168" s="8"/>
      <c r="F168" s="8"/>
      <c r="G168" t="str">
        <f t="shared" si="8"/>
        <v>SIM</v>
      </c>
    </row>
    <row r="169" spans="1:7" x14ac:dyDescent="0.35">
      <c r="A169" s="9">
        <v>46190</v>
      </c>
      <c r="B169" t="str">
        <f t="shared" si="9"/>
        <v>quarta-feira</v>
      </c>
      <c r="C169" t="str">
        <f t="shared" si="10"/>
        <v>junho</v>
      </c>
      <c r="D169">
        <f t="shared" si="11"/>
        <v>2026</v>
      </c>
      <c r="E169" s="8"/>
      <c r="F169" s="8"/>
      <c r="G169" t="str">
        <f t="shared" si="8"/>
        <v>SIM</v>
      </c>
    </row>
    <row r="170" spans="1:7" x14ac:dyDescent="0.35">
      <c r="A170" s="9">
        <v>46191</v>
      </c>
      <c r="B170" t="str">
        <f t="shared" si="9"/>
        <v>quinta-feira</v>
      </c>
      <c r="C170" t="str">
        <f t="shared" si="10"/>
        <v>junho</v>
      </c>
      <c r="D170">
        <f t="shared" si="11"/>
        <v>2026</v>
      </c>
      <c r="E170" s="8"/>
      <c r="F170" s="8"/>
      <c r="G170" t="str">
        <f t="shared" si="8"/>
        <v>SIM</v>
      </c>
    </row>
    <row r="171" spans="1:7" x14ac:dyDescent="0.35">
      <c r="A171" s="9">
        <v>46192</v>
      </c>
      <c r="B171" t="str">
        <f t="shared" si="9"/>
        <v>sexta-feira</v>
      </c>
      <c r="C171" t="str">
        <f t="shared" si="10"/>
        <v>junho</v>
      </c>
      <c r="D171">
        <f t="shared" si="11"/>
        <v>2026</v>
      </c>
      <c r="E171" s="8"/>
      <c r="F171" s="8"/>
      <c r="G171" t="str">
        <f t="shared" si="8"/>
        <v>SIM</v>
      </c>
    </row>
    <row r="172" spans="1:7" x14ac:dyDescent="0.35">
      <c r="A172" s="9">
        <v>46193</v>
      </c>
      <c r="B172" t="str">
        <f t="shared" si="9"/>
        <v>sábado</v>
      </c>
      <c r="C172" t="str">
        <f t="shared" si="10"/>
        <v>junho</v>
      </c>
      <c r="D172">
        <f t="shared" si="11"/>
        <v>2026</v>
      </c>
      <c r="E172" s="8"/>
      <c r="F172" s="8"/>
      <c r="G172" t="str">
        <f t="shared" si="8"/>
        <v>NÃO</v>
      </c>
    </row>
    <row r="173" spans="1:7" x14ac:dyDescent="0.35">
      <c r="A173" s="9">
        <v>46194</v>
      </c>
      <c r="B173" t="str">
        <f t="shared" si="9"/>
        <v>domingo</v>
      </c>
      <c r="C173" t="str">
        <f t="shared" si="10"/>
        <v>junho</v>
      </c>
      <c r="D173">
        <f t="shared" si="11"/>
        <v>2026</v>
      </c>
      <c r="E173" s="8"/>
      <c r="F173" s="8"/>
      <c r="G173" t="str">
        <f t="shared" si="8"/>
        <v>NÃO</v>
      </c>
    </row>
    <row r="174" spans="1:7" x14ac:dyDescent="0.35">
      <c r="A174" s="9">
        <v>46195</v>
      </c>
      <c r="B174" t="str">
        <f t="shared" si="9"/>
        <v>segunda-feira</v>
      </c>
      <c r="C174" t="str">
        <f t="shared" si="10"/>
        <v>junho</v>
      </c>
      <c r="D174">
        <f t="shared" si="11"/>
        <v>2026</v>
      </c>
      <c r="E174" s="8"/>
      <c r="F174" s="8"/>
      <c r="G174" t="str">
        <f t="shared" si="8"/>
        <v>SIM</v>
      </c>
    </row>
    <row r="175" spans="1:7" x14ac:dyDescent="0.35">
      <c r="A175" s="9">
        <v>46196</v>
      </c>
      <c r="B175" t="str">
        <f t="shared" si="9"/>
        <v>terça-feira</v>
      </c>
      <c r="C175" t="str">
        <f t="shared" si="10"/>
        <v>junho</v>
      </c>
      <c r="D175">
        <f t="shared" si="11"/>
        <v>2026</v>
      </c>
      <c r="E175" s="8"/>
      <c r="F175" s="8"/>
      <c r="G175" t="str">
        <f t="shared" si="8"/>
        <v>SIM</v>
      </c>
    </row>
    <row r="176" spans="1:7" x14ac:dyDescent="0.35">
      <c r="A176" s="9">
        <v>46197</v>
      </c>
      <c r="B176" t="str">
        <f t="shared" si="9"/>
        <v>quarta-feira</v>
      </c>
      <c r="C176" t="str">
        <f t="shared" si="10"/>
        <v>junho</v>
      </c>
      <c r="D176">
        <f t="shared" si="11"/>
        <v>2026</v>
      </c>
      <c r="E176" s="8"/>
      <c r="F176" s="8"/>
      <c r="G176" t="str">
        <f t="shared" si="8"/>
        <v>SIM</v>
      </c>
    </row>
    <row r="177" spans="1:7" x14ac:dyDescent="0.35">
      <c r="A177" s="9">
        <v>46198</v>
      </c>
      <c r="B177" t="str">
        <f t="shared" si="9"/>
        <v>quinta-feira</v>
      </c>
      <c r="C177" t="str">
        <f t="shared" si="10"/>
        <v>junho</v>
      </c>
      <c r="D177">
        <f t="shared" si="11"/>
        <v>2026</v>
      </c>
      <c r="E177" s="8"/>
      <c r="F177" s="8"/>
      <c r="G177" t="str">
        <f t="shared" si="8"/>
        <v>SIM</v>
      </c>
    </row>
    <row r="178" spans="1:7" x14ac:dyDescent="0.35">
      <c r="A178" s="9">
        <v>46199</v>
      </c>
      <c r="B178" t="str">
        <f t="shared" si="9"/>
        <v>sexta-feira</v>
      </c>
      <c r="C178" t="str">
        <f t="shared" si="10"/>
        <v>junho</v>
      </c>
      <c r="D178">
        <f t="shared" si="11"/>
        <v>2026</v>
      </c>
      <c r="E178" s="8"/>
      <c r="F178" s="8"/>
      <c r="G178" t="str">
        <f t="shared" si="8"/>
        <v>SIM</v>
      </c>
    </row>
    <row r="179" spans="1:7" x14ac:dyDescent="0.35">
      <c r="A179" s="9">
        <v>46200</v>
      </c>
      <c r="B179" t="str">
        <f t="shared" si="9"/>
        <v>sábado</v>
      </c>
      <c r="C179" t="str">
        <f t="shared" si="10"/>
        <v>junho</v>
      </c>
      <c r="D179">
        <f t="shared" si="11"/>
        <v>2026</v>
      </c>
      <c r="E179" s="8"/>
      <c r="F179" s="8"/>
      <c r="G179" t="str">
        <f t="shared" si="8"/>
        <v>NÃO</v>
      </c>
    </row>
    <row r="180" spans="1:7" x14ac:dyDescent="0.35">
      <c r="A180" s="9">
        <v>46201</v>
      </c>
      <c r="B180" t="str">
        <f t="shared" si="9"/>
        <v>domingo</v>
      </c>
      <c r="C180" t="str">
        <f t="shared" si="10"/>
        <v>junho</v>
      </c>
      <c r="D180">
        <f t="shared" si="11"/>
        <v>2026</v>
      </c>
      <c r="E180" s="8"/>
      <c r="F180" s="8"/>
      <c r="G180" t="str">
        <f t="shared" si="8"/>
        <v>NÃO</v>
      </c>
    </row>
    <row r="181" spans="1:7" x14ac:dyDescent="0.35">
      <c r="A181" s="9">
        <v>46202</v>
      </c>
      <c r="B181" t="str">
        <f t="shared" si="9"/>
        <v>segunda-feira</v>
      </c>
      <c r="C181" t="str">
        <f t="shared" si="10"/>
        <v>junho</v>
      </c>
      <c r="D181">
        <f t="shared" si="11"/>
        <v>2026</v>
      </c>
      <c r="E181" s="8"/>
      <c r="F181" s="8"/>
      <c r="G181" t="str">
        <f t="shared" si="8"/>
        <v>SIM</v>
      </c>
    </row>
    <row r="182" spans="1:7" x14ac:dyDescent="0.35">
      <c r="A182" s="9">
        <v>46203</v>
      </c>
      <c r="B182" t="str">
        <f t="shared" si="9"/>
        <v>terça-feira</v>
      </c>
      <c r="C182" t="str">
        <f t="shared" si="10"/>
        <v>junho</v>
      </c>
      <c r="D182">
        <f t="shared" si="11"/>
        <v>2026</v>
      </c>
      <c r="E182" s="8"/>
      <c r="F182" s="8"/>
      <c r="G182" t="str">
        <f t="shared" si="8"/>
        <v>SIM</v>
      </c>
    </row>
    <row r="183" spans="1:7" x14ac:dyDescent="0.35">
      <c r="A183" s="9">
        <v>46204</v>
      </c>
      <c r="B183" t="str">
        <f t="shared" si="9"/>
        <v>quarta-feira</v>
      </c>
      <c r="C183" t="str">
        <f t="shared" si="10"/>
        <v>julho</v>
      </c>
      <c r="D183">
        <f t="shared" si="11"/>
        <v>2026</v>
      </c>
      <c r="E183" s="8"/>
      <c r="F183" s="8"/>
      <c r="G183" t="str">
        <f t="shared" si="8"/>
        <v>SIM</v>
      </c>
    </row>
    <row r="184" spans="1:7" x14ac:dyDescent="0.35">
      <c r="A184" s="9">
        <v>46205</v>
      </c>
      <c r="B184" t="str">
        <f t="shared" si="9"/>
        <v>quinta-feira</v>
      </c>
      <c r="C184" t="str">
        <f t="shared" si="10"/>
        <v>julho</v>
      </c>
      <c r="D184">
        <f t="shared" si="11"/>
        <v>2026</v>
      </c>
      <c r="E184" s="8"/>
      <c r="F184" s="8"/>
      <c r="G184" t="str">
        <f t="shared" si="8"/>
        <v>SIM</v>
      </c>
    </row>
    <row r="185" spans="1:7" x14ac:dyDescent="0.35">
      <c r="A185" s="9">
        <v>46206</v>
      </c>
      <c r="B185" t="str">
        <f t="shared" si="9"/>
        <v>sexta-feira</v>
      </c>
      <c r="C185" t="str">
        <f t="shared" si="10"/>
        <v>julho</v>
      </c>
      <c r="D185">
        <f t="shared" si="11"/>
        <v>2026</v>
      </c>
      <c r="E185" s="8"/>
      <c r="F185" s="8"/>
      <c r="G185" t="str">
        <f t="shared" si="8"/>
        <v>SIM</v>
      </c>
    </row>
    <row r="186" spans="1:7" x14ac:dyDescent="0.35">
      <c r="A186" s="9">
        <v>46207</v>
      </c>
      <c r="B186" t="str">
        <f t="shared" si="9"/>
        <v>sábado</v>
      </c>
      <c r="C186" t="str">
        <f t="shared" si="10"/>
        <v>julho</v>
      </c>
      <c r="D186">
        <f t="shared" si="11"/>
        <v>2026</v>
      </c>
      <c r="E186" s="8"/>
      <c r="F186" s="8"/>
      <c r="G186" t="str">
        <f t="shared" si="8"/>
        <v>NÃO</v>
      </c>
    </row>
    <row r="187" spans="1:7" x14ac:dyDescent="0.35">
      <c r="A187" s="9">
        <v>46208</v>
      </c>
      <c r="B187" t="str">
        <f t="shared" si="9"/>
        <v>domingo</v>
      </c>
      <c r="C187" t="str">
        <f t="shared" si="10"/>
        <v>julho</v>
      </c>
      <c r="D187">
        <f t="shared" si="11"/>
        <v>2026</v>
      </c>
      <c r="E187" s="8"/>
      <c r="F187" s="8"/>
      <c r="G187" t="str">
        <f t="shared" si="8"/>
        <v>NÃO</v>
      </c>
    </row>
    <row r="188" spans="1:7" x14ac:dyDescent="0.35">
      <c r="A188" s="9">
        <v>46209</v>
      </c>
      <c r="B188" t="str">
        <f t="shared" si="9"/>
        <v>segunda-feira</v>
      </c>
      <c r="C188" t="str">
        <f t="shared" si="10"/>
        <v>julho</v>
      </c>
      <c r="D188">
        <f t="shared" si="11"/>
        <v>2026</v>
      </c>
      <c r="E188" s="8"/>
      <c r="F188" s="8"/>
      <c r="G188" t="str">
        <f t="shared" si="8"/>
        <v>SIM</v>
      </c>
    </row>
    <row r="189" spans="1:7" x14ac:dyDescent="0.35">
      <c r="A189" s="9">
        <v>46210</v>
      </c>
      <c r="B189" t="str">
        <f t="shared" si="9"/>
        <v>terça-feira</v>
      </c>
      <c r="C189" t="str">
        <f t="shared" si="10"/>
        <v>julho</v>
      </c>
      <c r="D189">
        <f t="shared" si="11"/>
        <v>2026</v>
      </c>
      <c r="E189" s="8"/>
      <c r="F189" s="8"/>
      <c r="G189" t="str">
        <f t="shared" si="8"/>
        <v>SIM</v>
      </c>
    </row>
    <row r="190" spans="1:7" x14ac:dyDescent="0.35">
      <c r="A190" s="9">
        <v>46211</v>
      </c>
      <c r="B190" t="str">
        <f t="shared" si="9"/>
        <v>quarta-feira</v>
      </c>
      <c r="C190" t="str">
        <f t="shared" si="10"/>
        <v>julho</v>
      </c>
      <c r="D190">
        <f t="shared" si="11"/>
        <v>2026</v>
      </c>
      <c r="E190" s="8"/>
      <c r="F190" s="8"/>
      <c r="G190" t="str">
        <f t="shared" si="8"/>
        <v>SIM</v>
      </c>
    </row>
    <row r="191" spans="1:7" x14ac:dyDescent="0.35">
      <c r="A191" s="9">
        <v>46212</v>
      </c>
      <c r="B191" t="str">
        <f t="shared" si="9"/>
        <v>quinta-feira</v>
      </c>
      <c r="C191" t="str">
        <f t="shared" si="10"/>
        <v>julho</v>
      </c>
      <c r="D191">
        <f t="shared" si="11"/>
        <v>2026</v>
      </c>
      <c r="E191" s="8"/>
      <c r="F191" s="8"/>
      <c r="G191" t="str">
        <f t="shared" si="8"/>
        <v>SIM</v>
      </c>
    </row>
    <row r="192" spans="1:7" x14ac:dyDescent="0.35">
      <c r="A192" s="9">
        <v>46213</v>
      </c>
      <c r="B192" t="str">
        <f t="shared" si="9"/>
        <v>sexta-feira</v>
      </c>
      <c r="C192" t="str">
        <f t="shared" si="10"/>
        <v>julho</v>
      </c>
      <c r="D192">
        <f t="shared" si="11"/>
        <v>2026</v>
      </c>
      <c r="E192" s="8"/>
      <c r="F192" s="8"/>
      <c r="G192" t="str">
        <f t="shared" si="8"/>
        <v>SIM</v>
      </c>
    </row>
    <row r="193" spans="1:7" x14ac:dyDescent="0.35">
      <c r="A193" s="9">
        <v>46214</v>
      </c>
      <c r="B193" t="str">
        <f t="shared" si="9"/>
        <v>sábado</v>
      </c>
      <c r="C193" t="str">
        <f t="shared" si="10"/>
        <v>julho</v>
      </c>
      <c r="D193">
        <f t="shared" si="11"/>
        <v>2026</v>
      </c>
      <c r="E193" s="8"/>
      <c r="F193" s="8"/>
      <c r="G193" t="str">
        <f t="shared" si="8"/>
        <v>NÃO</v>
      </c>
    </row>
    <row r="194" spans="1:7" x14ac:dyDescent="0.35">
      <c r="A194" s="9">
        <v>46215</v>
      </c>
      <c r="B194" t="str">
        <f t="shared" si="9"/>
        <v>domingo</v>
      </c>
      <c r="C194" t="str">
        <f t="shared" si="10"/>
        <v>julho</v>
      </c>
      <c r="D194">
        <f t="shared" si="11"/>
        <v>2026</v>
      </c>
      <c r="E194" s="8"/>
      <c r="F194" s="8"/>
      <c r="G194" t="str">
        <f t="shared" ref="G194:G257" si="12">IF(OR(E194="Feriado",E194="Recesso",B194="domingo",B194="sábado"),"NÃO","SIM")</f>
        <v>NÃO</v>
      </c>
    </row>
    <row r="195" spans="1:7" x14ac:dyDescent="0.35">
      <c r="A195" s="9">
        <v>46216</v>
      </c>
      <c r="B195" t="str">
        <f t="shared" ref="B195:B258" si="13">TEXT(A195,"dddd")</f>
        <v>segunda-feira</v>
      </c>
      <c r="C195" t="str">
        <f t="shared" ref="C195:C258" si="14">TEXT(A195,"mmmm")</f>
        <v>julho</v>
      </c>
      <c r="D195">
        <f t="shared" ref="D195:D258" si="15">YEAR(A195)</f>
        <v>2026</v>
      </c>
      <c r="E195" s="8"/>
      <c r="F195" s="8"/>
      <c r="G195" t="str">
        <f t="shared" si="12"/>
        <v>SIM</v>
      </c>
    </row>
    <row r="196" spans="1:7" x14ac:dyDescent="0.35">
      <c r="A196" s="9">
        <v>46217</v>
      </c>
      <c r="B196" t="str">
        <f t="shared" si="13"/>
        <v>terça-feira</v>
      </c>
      <c r="C196" t="str">
        <f t="shared" si="14"/>
        <v>julho</v>
      </c>
      <c r="D196">
        <f t="shared" si="15"/>
        <v>2026</v>
      </c>
      <c r="E196" s="8"/>
      <c r="F196" s="8"/>
      <c r="G196" t="str">
        <f t="shared" si="12"/>
        <v>SIM</v>
      </c>
    </row>
    <row r="197" spans="1:7" x14ac:dyDescent="0.35">
      <c r="A197" s="9">
        <v>46218</v>
      </c>
      <c r="B197" t="str">
        <f t="shared" si="13"/>
        <v>quarta-feira</v>
      </c>
      <c r="C197" t="str">
        <f t="shared" si="14"/>
        <v>julho</v>
      </c>
      <c r="D197">
        <f t="shared" si="15"/>
        <v>2026</v>
      </c>
      <c r="E197" s="8"/>
      <c r="F197" s="8"/>
      <c r="G197" t="str">
        <f t="shared" si="12"/>
        <v>SIM</v>
      </c>
    </row>
    <row r="198" spans="1:7" x14ac:dyDescent="0.35">
      <c r="A198" s="9">
        <v>46219</v>
      </c>
      <c r="B198" t="str">
        <f t="shared" si="13"/>
        <v>quinta-feira</v>
      </c>
      <c r="C198" t="str">
        <f t="shared" si="14"/>
        <v>julho</v>
      </c>
      <c r="D198">
        <f t="shared" si="15"/>
        <v>2026</v>
      </c>
      <c r="E198" s="8"/>
      <c r="F198" s="8"/>
      <c r="G198" t="str">
        <f t="shared" si="12"/>
        <v>SIM</v>
      </c>
    </row>
    <row r="199" spans="1:7" x14ac:dyDescent="0.35">
      <c r="A199" s="9">
        <v>46220</v>
      </c>
      <c r="B199" t="str">
        <f t="shared" si="13"/>
        <v>sexta-feira</v>
      </c>
      <c r="C199" t="str">
        <f t="shared" si="14"/>
        <v>julho</v>
      </c>
      <c r="D199">
        <f t="shared" si="15"/>
        <v>2026</v>
      </c>
      <c r="E199" s="8" t="s">
        <v>31</v>
      </c>
      <c r="F199" s="8" t="s">
        <v>41</v>
      </c>
      <c r="G199" t="str">
        <f t="shared" si="12"/>
        <v>NÃO</v>
      </c>
    </row>
    <row r="200" spans="1:7" x14ac:dyDescent="0.35">
      <c r="A200" s="9">
        <v>46221</v>
      </c>
      <c r="B200" t="str">
        <f t="shared" si="13"/>
        <v>sábado</v>
      </c>
      <c r="C200" t="str">
        <f t="shared" si="14"/>
        <v>julho</v>
      </c>
      <c r="D200">
        <f t="shared" si="15"/>
        <v>2026</v>
      </c>
      <c r="E200" s="8"/>
      <c r="F200" s="8"/>
      <c r="G200" t="str">
        <f t="shared" si="12"/>
        <v>NÃO</v>
      </c>
    </row>
    <row r="201" spans="1:7" x14ac:dyDescent="0.35">
      <c r="A201" s="9">
        <v>46222</v>
      </c>
      <c r="B201" t="str">
        <f t="shared" si="13"/>
        <v>domingo</v>
      </c>
      <c r="C201" t="str">
        <f t="shared" si="14"/>
        <v>julho</v>
      </c>
      <c r="D201">
        <f t="shared" si="15"/>
        <v>2026</v>
      </c>
      <c r="E201" s="8"/>
      <c r="F201" s="8"/>
      <c r="G201" t="str">
        <f t="shared" si="12"/>
        <v>NÃO</v>
      </c>
    </row>
    <row r="202" spans="1:7" x14ac:dyDescent="0.35">
      <c r="A202" s="9">
        <v>46223</v>
      </c>
      <c r="B202" t="str">
        <f t="shared" si="13"/>
        <v>segunda-feira</v>
      </c>
      <c r="C202" t="str">
        <f t="shared" si="14"/>
        <v>julho</v>
      </c>
      <c r="D202">
        <f t="shared" si="15"/>
        <v>2026</v>
      </c>
      <c r="E202" s="8" t="s">
        <v>31</v>
      </c>
      <c r="F202" s="8" t="s">
        <v>41</v>
      </c>
      <c r="G202" t="str">
        <f t="shared" si="12"/>
        <v>NÃO</v>
      </c>
    </row>
    <row r="203" spans="1:7" x14ac:dyDescent="0.35">
      <c r="A203" s="9">
        <v>46224</v>
      </c>
      <c r="B203" t="str">
        <f t="shared" si="13"/>
        <v>terça-feira</v>
      </c>
      <c r="C203" t="str">
        <f t="shared" si="14"/>
        <v>julho</v>
      </c>
      <c r="D203">
        <f t="shared" si="15"/>
        <v>2026</v>
      </c>
      <c r="E203" s="8" t="s">
        <v>31</v>
      </c>
      <c r="F203" s="8" t="s">
        <v>41</v>
      </c>
      <c r="G203" t="str">
        <f t="shared" si="12"/>
        <v>NÃO</v>
      </c>
    </row>
    <row r="204" spans="1:7" x14ac:dyDescent="0.35">
      <c r="A204" s="9">
        <v>46225</v>
      </c>
      <c r="B204" t="str">
        <f t="shared" si="13"/>
        <v>quarta-feira</v>
      </c>
      <c r="C204" t="str">
        <f t="shared" si="14"/>
        <v>julho</v>
      </c>
      <c r="D204">
        <f t="shared" si="15"/>
        <v>2026</v>
      </c>
      <c r="E204" s="8" t="s">
        <v>31</v>
      </c>
      <c r="F204" s="8" t="s">
        <v>41</v>
      </c>
      <c r="G204" t="str">
        <f t="shared" si="12"/>
        <v>NÃO</v>
      </c>
    </row>
    <row r="205" spans="1:7" x14ac:dyDescent="0.35">
      <c r="A205" s="9">
        <v>46226</v>
      </c>
      <c r="B205" t="str">
        <f t="shared" si="13"/>
        <v>quinta-feira</v>
      </c>
      <c r="C205" t="str">
        <f t="shared" si="14"/>
        <v>julho</v>
      </c>
      <c r="D205">
        <f t="shared" si="15"/>
        <v>2026</v>
      </c>
      <c r="E205" s="8" t="s">
        <v>31</v>
      </c>
      <c r="F205" s="8" t="s">
        <v>41</v>
      </c>
      <c r="G205" t="str">
        <f t="shared" si="12"/>
        <v>NÃO</v>
      </c>
    </row>
    <row r="206" spans="1:7" x14ac:dyDescent="0.35">
      <c r="A206" s="9">
        <v>46227</v>
      </c>
      <c r="B206" t="str">
        <f t="shared" si="13"/>
        <v>sexta-feira</v>
      </c>
      <c r="C206" t="str">
        <f t="shared" si="14"/>
        <v>julho</v>
      </c>
      <c r="D206">
        <f t="shared" si="15"/>
        <v>2026</v>
      </c>
      <c r="E206" s="8" t="s">
        <v>31</v>
      </c>
      <c r="F206" s="8" t="s">
        <v>41</v>
      </c>
      <c r="G206" t="str">
        <f t="shared" si="12"/>
        <v>NÃO</v>
      </c>
    </row>
    <row r="207" spans="1:7" x14ac:dyDescent="0.35">
      <c r="A207" s="9">
        <v>46228</v>
      </c>
      <c r="B207" t="str">
        <f t="shared" si="13"/>
        <v>sábado</v>
      </c>
      <c r="C207" t="str">
        <f t="shared" si="14"/>
        <v>julho</v>
      </c>
      <c r="D207">
        <f t="shared" si="15"/>
        <v>2026</v>
      </c>
      <c r="E207" s="8"/>
      <c r="F207" s="8"/>
      <c r="G207" t="str">
        <f t="shared" si="12"/>
        <v>NÃO</v>
      </c>
    </row>
    <row r="208" spans="1:7" x14ac:dyDescent="0.35">
      <c r="A208" s="9">
        <v>46229</v>
      </c>
      <c r="B208" t="str">
        <f t="shared" si="13"/>
        <v>domingo</v>
      </c>
      <c r="C208" t="str">
        <f t="shared" si="14"/>
        <v>julho</v>
      </c>
      <c r="D208">
        <f t="shared" si="15"/>
        <v>2026</v>
      </c>
      <c r="E208" s="8"/>
      <c r="F208" s="8"/>
      <c r="G208" t="str">
        <f t="shared" si="12"/>
        <v>NÃO</v>
      </c>
    </row>
    <row r="209" spans="1:7" x14ac:dyDescent="0.35">
      <c r="A209" s="9">
        <v>46230</v>
      </c>
      <c r="B209" t="str">
        <f t="shared" si="13"/>
        <v>segunda-feira</v>
      </c>
      <c r="C209" t="str">
        <f t="shared" si="14"/>
        <v>julho</v>
      </c>
      <c r="D209">
        <f t="shared" si="15"/>
        <v>2026</v>
      </c>
      <c r="E209" s="8"/>
      <c r="F209" s="8"/>
      <c r="G209" t="str">
        <f t="shared" si="12"/>
        <v>SIM</v>
      </c>
    </row>
    <row r="210" spans="1:7" x14ac:dyDescent="0.35">
      <c r="A210" s="9">
        <v>46231</v>
      </c>
      <c r="B210" t="str">
        <f t="shared" si="13"/>
        <v>terça-feira</v>
      </c>
      <c r="C210" t="str">
        <f t="shared" si="14"/>
        <v>julho</v>
      </c>
      <c r="D210">
        <f t="shared" si="15"/>
        <v>2026</v>
      </c>
      <c r="E210" s="8"/>
      <c r="F210" s="8"/>
      <c r="G210" t="str">
        <f t="shared" si="12"/>
        <v>SIM</v>
      </c>
    </row>
    <row r="211" spans="1:7" x14ac:dyDescent="0.35">
      <c r="A211" s="9">
        <v>46232</v>
      </c>
      <c r="B211" t="str">
        <f t="shared" si="13"/>
        <v>quarta-feira</v>
      </c>
      <c r="C211" t="str">
        <f t="shared" si="14"/>
        <v>julho</v>
      </c>
      <c r="D211">
        <f t="shared" si="15"/>
        <v>2026</v>
      </c>
      <c r="E211" s="8"/>
      <c r="F211" s="8"/>
      <c r="G211" t="str">
        <f t="shared" si="12"/>
        <v>SIM</v>
      </c>
    </row>
    <row r="212" spans="1:7" x14ac:dyDescent="0.35">
      <c r="A212" s="9">
        <v>46233</v>
      </c>
      <c r="B212" t="str">
        <f t="shared" si="13"/>
        <v>quinta-feira</v>
      </c>
      <c r="C212" t="str">
        <f t="shared" si="14"/>
        <v>julho</v>
      </c>
      <c r="D212">
        <f t="shared" si="15"/>
        <v>2026</v>
      </c>
      <c r="E212" s="8"/>
      <c r="F212" s="8"/>
      <c r="G212" t="str">
        <f t="shared" si="12"/>
        <v>SIM</v>
      </c>
    </row>
    <row r="213" spans="1:7" x14ac:dyDescent="0.35">
      <c r="A213" s="9">
        <v>46234</v>
      </c>
      <c r="B213" t="str">
        <f t="shared" si="13"/>
        <v>sexta-feira</v>
      </c>
      <c r="C213" t="str">
        <f t="shared" si="14"/>
        <v>julho</v>
      </c>
      <c r="D213">
        <f t="shared" si="15"/>
        <v>2026</v>
      </c>
      <c r="E213" s="8"/>
      <c r="F213" s="8"/>
      <c r="G213" t="str">
        <f t="shared" si="12"/>
        <v>SIM</v>
      </c>
    </row>
    <row r="214" spans="1:7" x14ac:dyDescent="0.35">
      <c r="A214" s="9">
        <v>46235</v>
      </c>
      <c r="B214" t="str">
        <f t="shared" si="13"/>
        <v>sábado</v>
      </c>
      <c r="C214" t="str">
        <f t="shared" si="14"/>
        <v>agosto</v>
      </c>
      <c r="D214">
        <f t="shared" si="15"/>
        <v>2026</v>
      </c>
      <c r="E214" s="8"/>
      <c r="F214" s="8"/>
      <c r="G214" t="str">
        <f t="shared" si="12"/>
        <v>NÃO</v>
      </c>
    </row>
    <row r="215" spans="1:7" x14ac:dyDescent="0.35">
      <c r="A215" s="9">
        <v>46236</v>
      </c>
      <c r="B215" t="str">
        <f t="shared" si="13"/>
        <v>domingo</v>
      </c>
      <c r="C215" t="str">
        <f t="shared" si="14"/>
        <v>agosto</v>
      </c>
      <c r="D215">
        <f t="shared" si="15"/>
        <v>2026</v>
      </c>
      <c r="E215" s="8"/>
      <c r="F215" s="8"/>
      <c r="G215" t="str">
        <f t="shared" si="12"/>
        <v>NÃO</v>
      </c>
    </row>
    <row r="216" spans="1:7" x14ac:dyDescent="0.35">
      <c r="A216" s="9">
        <v>46237</v>
      </c>
      <c r="B216" t="str">
        <f t="shared" si="13"/>
        <v>segunda-feira</v>
      </c>
      <c r="C216" t="str">
        <f t="shared" si="14"/>
        <v>agosto</v>
      </c>
      <c r="D216">
        <f t="shared" si="15"/>
        <v>2026</v>
      </c>
      <c r="E216" s="8" t="s">
        <v>31</v>
      </c>
      <c r="F216" s="8" t="s">
        <v>42</v>
      </c>
      <c r="G216" t="str">
        <f t="shared" si="12"/>
        <v>NÃO</v>
      </c>
    </row>
    <row r="217" spans="1:7" x14ac:dyDescent="0.35">
      <c r="A217" s="9">
        <v>46238</v>
      </c>
      <c r="B217" t="str">
        <f t="shared" si="13"/>
        <v>terça-feira</v>
      </c>
      <c r="C217" t="str">
        <f t="shared" si="14"/>
        <v>agosto</v>
      </c>
      <c r="D217">
        <f t="shared" si="15"/>
        <v>2026</v>
      </c>
      <c r="E217" s="8"/>
      <c r="F217" s="8"/>
      <c r="G217" t="str">
        <f t="shared" si="12"/>
        <v>SIM</v>
      </c>
    </row>
    <row r="218" spans="1:7" x14ac:dyDescent="0.35">
      <c r="A218" s="9">
        <v>46239</v>
      </c>
      <c r="B218" t="str">
        <f t="shared" si="13"/>
        <v>quarta-feira</v>
      </c>
      <c r="C218" t="str">
        <f t="shared" si="14"/>
        <v>agosto</v>
      </c>
      <c r="D218">
        <f t="shared" si="15"/>
        <v>2026</v>
      </c>
      <c r="E218" s="8"/>
      <c r="F218" s="8"/>
      <c r="G218" t="str">
        <f t="shared" si="12"/>
        <v>SIM</v>
      </c>
    </row>
    <row r="219" spans="1:7" x14ac:dyDescent="0.35">
      <c r="A219" s="9">
        <v>46240</v>
      </c>
      <c r="B219" t="str">
        <f t="shared" si="13"/>
        <v>quinta-feira</v>
      </c>
      <c r="C219" t="str">
        <f t="shared" si="14"/>
        <v>agosto</v>
      </c>
      <c r="D219">
        <f t="shared" si="15"/>
        <v>2026</v>
      </c>
      <c r="E219" s="8"/>
      <c r="F219" s="8"/>
      <c r="G219" t="str">
        <f t="shared" si="12"/>
        <v>SIM</v>
      </c>
    </row>
    <row r="220" spans="1:7" x14ac:dyDescent="0.35">
      <c r="A220" s="9">
        <v>46241</v>
      </c>
      <c r="B220" t="str">
        <f t="shared" si="13"/>
        <v>sexta-feira</v>
      </c>
      <c r="C220" t="str">
        <f t="shared" si="14"/>
        <v>agosto</v>
      </c>
      <c r="D220">
        <f t="shared" si="15"/>
        <v>2026</v>
      </c>
      <c r="E220" s="8"/>
      <c r="F220" s="8"/>
      <c r="G220" t="str">
        <f t="shared" si="12"/>
        <v>SIM</v>
      </c>
    </row>
    <row r="221" spans="1:7" x14ac:dyDescent="0.35">
      <c r="A221" s="9">
        <v>46242</v>
      </c>
      <c r="B221" t="str">
        <f t="shared" si="13"/>
        <v>sábado</v>
      </c>
      <c r="C221" t="str">
        <f t="shared" si="14"/>
        <v>agosto</v>
      </c>
      <c r="D221">
        <f t="shared" si="15"/>
        <v>2026</v>
      </c>
      <c r="E221" s="8"/>
      <c r="F221" s="8"/>
      <c r="G221" t="str">
        <f t="shared" si="12"/>
        <v>NÃO</v>
      </c>
    </row>
    <row r="222" spans="1:7" x14ac:dyDescent="0.35">
      <c r="A222" s="9">
        <v>46243</v>
      </c>
      <c r="B222" t="str">
        <f t="shared" si="13"/>
        <v>domingo</v>
      </c>
      <c r="C222" t="str">
        <f t="shared" si="14"/>
        <v>agosto</v>
      </c>
      <c r="D222">
        <f t="shared" si="15"/>
        <v>2026</v>
      </c>
      <c r="E222" s="8"/>
      <c r="F222" s="8"/>
      <c r="G222" t="str">
        <f t="shared" si="12"/>
        <v>NÃO</v>
      </c>
    </row>
    <row r="223" spans="1:7" x14ac:dyDescent="0.35">
      <c r="A223" s="9">
        <v>46244</v>
      </c>
      <c r="B223" t="str">
        <f t="shared" si="13"/>
        <v>segunda-feira</v>
      </c>
      <c r="C223" t="str">
        <f t="shared" si="14"/>
        <v>agosto</v>
      </c>
      <c r="D223">
        <f t="shared" si="15"/>
        <v>2026</v>
      </c>
      <c r="E223" s="8"/>
      <c r="F223" s="8"/>
      <c r="G223" t="str">
        <f t="shared" si="12"/>
        <v>SIM</v>
      </c>
    </row>
    <row r="224" spans="1:7" x14ac:dyDescent="0.35">
      <c r="A224" s="9">
        <v>46245</v>
      </c>
      <c r="B224" t="str">
        <f t="shared" si="13"/>
        <v>terça-feira</v>
      </c>
      <c r="C224" t="str">
        <f t="shared" si="14"/>
        <v>agosto</v>
      </c>
      <c r="D224">
        <f t="shared" si="15"/>
        <v>2026</v>
      </c>
      <c r="E224" s="8"/>
      <c r="F224" s="8"/>
      <c r="G224" t="str">
        <f t="shared" si="12"/>
        <v>SIM</v>
      </c>
    </row>
    <row r="225" spans="1:7" x14ac:dyDescent="0.35">
      <c r="A225" s="9">
        <v>46246</v>
      </c>
      <c r="B225" t="str">
        <f t="shared" si="13"/>
        <v>quarta-feira</v>
      </c>
      <c r="C225" t="str">
        <f t="shared" si="14"/>
        <v>agosto</v>
      </c>
      <c r="D225">
        <f t="shared" si="15"/>
        <v>2026</v>
      </c>
      <c r="E225" s="8"/>
      <c r="F225" s="8"/>
      <c r="G225" t="str">
        <f t="shared" si="12"/>
        <v>SIM</v>
      </c>
    </row>
    <row r="226" spans="1:7" x14ac:dyDescent="0.35">
      <c r="A226" s="9">
        <v>46247</v>
      </c>
      <c r="B226" t="str">
        <f t="shared" si="13"/>
        <v>quinta-feira</v>
      </c>
      <c r="C226" t="str">
        <f t="shared" si="14"/>
        <v>agosto</v>
      </c>
      <c r="D226">
        <f t="shared" si="15"/>
        <v>2026</v>
      </c>
      <c r="E226" s="8"/>
      <c r="F226" s="8"/>
      <c r="G226" t="str">
        <f t="shared" si="12"/>
        <v>SIM</v>
      </c>
    </row>
    <row r="227" spans="1:7" x14ac:dyDescent="0.35">
      <c r="A227" s="9">
        <v>46248</v>
      </c>
      <c r="B227" t="str">
        <f t="shared" si="13"/>
        <v>sexta-feira</v>
      </c>
      <c r="C227" t="str">
        <f t="shared" si="14"/>
        <v>agosto</v>
      </c>
      <c r="D227">
        <f t="shared" si="15"/>
        <v>2026</v>
      </c>
      <c r="E227" s="8"/>
      <c r="F227" s="8"/>
      <c r="G227" t="str">
        <f t="shared" si="12"/>
        <v>SIM</v>
      </c>
    </row>
    <row r="228" spans="1:7" x14ac:dyDescent="0.35">
      <c r="A228" s="9">
        <v>46249</v>
      </c>
      <c r="B228" t="str">
        <f t="shared" si="13"/>
        <v>sábado</v>
      </c>
      <c r="C228" t="str">
        <f t="shared" si="14"/>
        <v>agosto</v>
      </c>
      <c r="D228">
        <f t="shared" si="15"/>
        <v>2026</v>
      </c>
      <c r="E228" s="8"/>
      <c r="F228" s="8"/>
      <c r="G228" t="str">
        <f t="shared" si="12"/>
        <v>NÃO</v>
      </c>
    </row>
    <row r="229" spans="1:7" x14ac:dyDescent="0.35">
      <c r="A229" s="9">
        <v>46250</v>
      </c>
      <c r="B229" t="str">
        <f t="shared" si="13"/>
        <v>domingo</v>
      </c>
      <c r="C229" t="str">
        <f t="shared" si="14"/>
        <v>agosto</v>
      </c>
      <c r="D229">
        <f t="shared" si="15"/>
        <v>2026</v>
      </c>
      <c r="E229" s="8"/>
      <c r="F229" s="8"/>
      <c r="G229" t="str">
        <f t="shared" si="12"/>
        <v>NÃO</v>
      </c>
    </row>
    <row r="230" spans="1:7" x14ac:dyDescent="0.35">
      <c r="A230" s="9">
        <v>46251</v>
      </c>
      <c r="B230" t="str">
        <f t="shared" si="13"/>
        <v>segunda-feira</v>
      </c>
      <c r="C230" t="str">
        <f t="shared" si="14"/>
        <v>agosto</v>
      </c>
      <c r="D230">
        <f t="shared" si="15"/>
        <v>2026</v>
      </c>
      <c r="E230" s="8"/>
      <c r="F230" s="8"/>
      <c r="G230" t="str">
        <f t="shared" si="12"/>
        <v>SIM</v>
      </c>
    </row>
    <row r="231" spans="1:7" x14ac:dyDescent="0.35">
      <c r="A231" s="9">
        <v>46252</v>
      </c>
      <c r="B231" t="str">
        <f t="shared" si="13"/>
        <v>terça-feira</v>
      </c>
      <c r="C231" t="str">
        <f t="shared" si="14"/>
        <v>agosto</v>
      </c>
      <c r="D231">
        <f t="shared" si="15"/>
        <v>2026</v>
      </c>
      <c r="E231" s="8"/>
      <c r="F231" s="8"/>
      <c r="G231" t="str">
        <f t="shared" si="12"/>
        <v>SIM</v>
      </c>
    </row>
    <row r="232" spans="1:7" x14ac:dyDescent="0.35">
      <c r="A232" s="9">
        <v>46253</v>
      </c>
      <c r="B232" t="str">
        <f t="shared" si="13"/>
        <v>quarta-feira</v>
      </c>
      <c r="C232" t="str">
        <f t="shared" si="14"/>
        <v>agosto</v>
      </c>
      <c r="D232">
        <f t="shared" si="15"/>
        <v>2026</v>
      </c>
      <c r="E232" s="8"/>
      <c r="F232" s="8"/>
      <c r="G232" t="str">
        <f t="shared" si="12"/>
        <v>SIM</v>
      </c>
    </row>
    <row r="233" spans="1:7" x14ac:dyDescent="0.35">
      <c r="A233" s="9">
        <v>46254</v>
      </c>
      <c r="B233" t="str">
        <f t="shared" si="13"/>
        <v>quinta-feira</v>
      </c>
      <c r="C233" t="str">
        <f t="shared" si="14"/>
        <v>agosto</v>
      </c>
      <c r="D233">
        <f t="shared" si="15"/>
        <v>2026</v>
      </c>
      <c r="E233" s="8"/>
      <c r="F233" s="8"/>
      <c r="G233" t="str">
        <f t="shared" si="12"/>
        <v>SIM</v>
      </c>
    </row>
    <row r="234" spans="1:7" x14ac:dyDescent="0.35">
      <c r="A234" s="9">
        <v>46255</v>
      </c>
      <c r="B234" t="str">
        <f t="shared" si="13"/>
        <v>sexta-feira</v>
      </c>
      <c r="C234" t="str">
        <f t="shared" si="14"/>
        <v>agosto</v>
      </c>
      <c r="D234">
        <f t="shared" si="15"/>
        <v>2026</v>
      </c>
      <c r="E234" s="8"/>
      <c r="F234" s="8"/>
      <c r="G234" t="str">
        <f t="shared" si="12"/>
        <v>SIM</v>
      </c>
    </row>
    <row r="235" spans="1:7" x14ac:dyDescent="0.35">
      <c r="A235" s="9">
        <v>46256</v>
      </c>
      <c r="B235" t="str">
        <f t="shared" si="13"/>
        <v>sábado</v>
      </c>
      <c r="C235" t="str">
        <f t="shared" si="14"/>
        <v>agosto</v>
      </c>
      <c r="D235">
        <f t="shared" si="15"/>
        <v>2026</v>
      </c>
      <c r="E235" s="8"/>
      <c r="F235" s="8"/>
      <c r="G235" t="str">
        <f t="shared" si="12"/>
        <v>NÃO</v>
      </c>
    </row>
    <row r="236" spans="1:7" x14ac:dyDescent="0.35">
      <c r="A236" s="9">
        <v>46257</v>
      </c>
      <c r="B236" t="str">
        <f t="shared" si="13"/>
        <v>domingo</v>
      </c>
      <c r="C236" t="str">
        <f t="shared" si="14"/>
        <v>agosto</v>
      </c>
      <c r="D236">
        <f t="shared" si="15"/>
        <v>2026</v>
      </c>
      <c r="E236" s="8"/>
      <c r="F236" s="8"/>
      <c r="G236" t="str">
        <f t="shared" si="12"/>
        <v>NÃO</v>
      </c>
    </row>
    <row r="237" spans="1:7" x14ac:dyDescent="0.35">
      <c r="A237" s="9">
        <v>46258</v>
      </c>
      <c r="B237" t="str">
        <f t="shared" si="13"/>
        <v>segunda-feira</v>
      </c>
      <c r="C237" t="str">
        <f t="shared" si="14"/>
        <v>agosto</v>
      </c>
      <c r="D237">
        <f t="shared" si="15"/>
        <v>2026</v>
      </c>
      <c r="E237" s="8"/>
      <c r="F237" s="8"/>
      <c r="G237" t="str">
        <f t="shared" si="12"/>
        <v>SIM</v>
      </c>
    </row>
    <row r="238" spans="1:7" x14ac:dyDescent="0.35">
      <c r="A238" s="9">
        <v>46259</v>
      </c>
      <c r="B238" t="str">
        <f t="shared" si="13"/>
        <v>terça-feira</v>
      </c>
      <c r="C238" t="str">
        <f t="shared" si="14"/>
        <v>agosto</v>
      </c>
      <c r="D238">
        <f t="shared" si="15"/>
        <v>2026</v>
      </c>
      <c r="E238" s="8"/>
      <c r="F238" s="8"/>
      <c r="G238" t="str">
        <f t="shared" si="12"/>
        <v>SIM</v>
      </c>
    </row>
    <row r="239" spans="1:7" x14ac:dyDescent="0.35">
      <c r="A239" s="9">
        <v>46260</v>
      </c>
      <c r="B239" t="str">
        <f t="shared" si="13"/>
        <v>quarta-feira</v>
      </c>
      <c r="C239" t="str">
        <f t="shared" si="14"/>
        <v>agosto</v>
      </c>
      <c r="D239">
        <f t="shared" si="15"/>
        <v>2026</v>
      </c>
      <c r="E239" s="8"/>
      <c r="F239" s="8"/>
      <c r="G239" t="str">
        <f t="shared" si="12"/>
        <v>SIM</v>
      </c>
    </row>
    <row r="240" spans="1:7" x14ac:dyDescent="0.35">
      <c r="A240" s="9">
        <v>46261</v>
      </c>
      <c r="B240" t="str">
        <f t="shared" si="13"/>
        <v>quinta-feira</v>
      </c>
      <c r="C240" t="str">
        <f t="shared" si="14"/>
        <v>agosto</v>
      </c>
      <c r="D240">
        <f t="shared" si="15"/>
        <v>2026</v>
      </c>
      <c r="E240" s="8"/>
      <c r="F240" s="8"/>
      <c r="G240" t="str">
        <f t="shared" si="12"/>
        <v>SIM</v>
      </c>
    </row>
    <row r="241" spans="1:7" x14ac:dyDescent="0.35">
      <c r="A241" s="9">
        <v>46262</v>
      </c>
      <c r="B241" t="str">
        <f t="shared" si="13"/>
        <v>sexta-feira</v>
      </c>
      <c r="C241" t="str">
        <f t="shared" si="14"/>
        <v>agosto</v>
      </c>
      <c r="D241">
        <f t="shared" si="15"/>
        <v>2026</v>
      </c>
      <c r="E241" s="8"/>
      <c r="F241" s="8"/>
      <c r="G241" t="str">
        <f t="shared" si="12"/>
        <v>SIM</v>
      </c>
    </row>
    <row r="242" spans="1:7" x14ac:dyDescent="0.35">
      <c r="A242" s="9">
        <v>46263</v>
      </c>
      <c r="B242" t="str">
        <f t="shared" si="13"/>
        <v>sábado</v>
      </c>
      <c r="C242" t="str">
        <f t="shared" si="14"/>
        <v>agosto</v>
      </c>
      <c r="D242">
        <f t="shared" si="15"/>
        <v>2026</v>
      </c>
      <c r="E242" s="8"/>
      <c r="F242" s="8"/>
      <c r="G242" t="str">
        <f t="shared" si="12"/>
        <v>NÃO</v>
      </c>
    </row>
    <row r="243" spans="1:7" x14ac:dyDescent="0.35">
      <c r="A243" s="9">
        <v>46264</v>
      </c>
      <c r="B243" t="str">
        <f t="shared" si="13"/>
        <v>domingo</v>
      </c>
      <c r="C243" t="str">
        <f t="shared" si="14"/>
        <v>agosto</v>
      </c>
      <c r="D243">
        <f t="shared" si="15"/>
        <v>2026</v>
      </c>
      <c r="E243" s="8"/>
      <c r="F243" s="8"/>
      <c r="G243" t="str">
        <f t="shared" si="12"/>
        <v>NÃO</v>
      </c>
    </row>
    <row r="244" spans="1:7" x14ac:dyDescent="0.35">
      <c r="A244" s="9">
        <v>46265</v>
      </c>
      <c r="B244" t="str">
        <f t="shared" si="13"/>
        <v>segunda-feira</v>
      </c>
      <c r="C244" t="str">
        <f t="shared" si="14"/>
        <v>agosto</v>
      </c>
      <c r="D244">
        <f t="shared" si="15"/>
        <v>2026</v>
      </c>
      <c r="E244" s="8"/>
      <c r="F244" s="8"/>
      <c r="G244" t="str">
        <f t="shared" si="12"/>
        <v>SIM</v>
      </c>
    </row>
    <row r="245" spans="1:7" x14ac:dyDescent="0.35">
      <c r="A245" s="9">
        <v>46266</v>
      </c>
      <c r="B245" t="str">
        <f t="shared" si="13"/>
        <v>terça-feira</v>
      </c>
      <c r="C245" t="str">
        <f t="shared" si="14"/>
        <v>setembro</v>
      </c>
      <c r="D245">
        <f t="shared" si="15"/>
        <v>2026</v>
      </c>
      <c r="E245" s="8"/>
      <c r="F245" s="8"/>
      <c r="G245" t="str">
        <f t="shared" si="12"/>
        <v>SIM</v>
      </c>
    </row>
    <row r="246" spans="1:7" x14ac:dyDescent="0.35">
      <c r="A246" s="9">
        <v>46267</v>
      </c>
      <c r="B246" t="str">
        <f t="shared" si="13"/>
        <v>quarta-feira</v>
      </c>
      <c r="C246" t="str">
        <f t="shared" si="14"/>
        <v>setembro</v>
      </c>
      <c r="D246">
        <f t="shared" si="15"/>
        <v>2026</v>
      </c>
      <c r="E246" s="8"/>
      <c r="F246" s="8"/>
      <c r="G246" t="str">
        <f t="shared" si="12"/>
        <v>SIM</v>
      </c>
    </row>
    <row r="247" spans="1:7" x14ac:dyDescent="0.35">
      <c r="A247" s="9">
        <v>46268</v>
      </c>
      <c r="B247" t="str">
        <f t="shared" si="13"/>
        <v>quinta-feira</v>
      </c>
      <c r="C247" t="str">
        <f t="shared" si="14"/>
        <v>setembro</v>
      </c>
      <c r="D247">
        <f t="shared" si="15"/>
        <v>2026</v>
      </c>
      <c r="E247" s="8"/>
      <c r="F247" s="8"/>
      <c r="G247" t="str">
        <f t="shared" si="12"/>
        <v>SIM</v>
      </c>
    </row>
    <row r="248" spans="1:7" x14ac:dyDescent="0.35">
      <c r="A248" s="9">
        <v>46269</v>
      </c>
      <c r="B248" t="str">
        <f t="shared" si="13"/>
        <v>sexta-feira</v>
      </c>
      <c r="C248" t="str">
        <f t="shared" si="14"/>
        <v>setembro</v>
      </c>
      <c r="D248">
        <f t="shared" si="15"/>
        <v>2026</v>
      </c>
      <c r="E248" s="8"/>
      <c r="F248" s="8"/>
      <c r="G248" t="str">
        <f t="shared" si="12"/>
        <v>SIM</v>
      </c>
    </row>
    <row r="249" spans="1:7" x14ac:dyDescent="0.35">
      <c r="A249" s="9">
        <v>46270</v>
      </c>
      <c r="B249" t="str">
        <f t="shared" si="13"/>
        <v>sábado</v>
      </c>
      <c r="C249" t="str">
        <f t="shared" si="14"/>
        <v>setembro</v>
      </c>
      <c r="D249">
        <f t="shared" si="15"/>
        <v>2026</v>
      </c>
      <c r="E249" s="8"/>
      <c r="F249" s="8"/>
      <c r="G249" t="str">
        <f t="shared" si="12"/>
        <v>NÃO</v>
      </c>
    </row>
    <row r="250" spans="1:7" x14ac:dyDescent="0.35">
      <c r="A250" s="9">
        <v>46271</v>
      </c>
      <c r="B250" t="str">
        <f t="shared" si="13"/>
        <v>domingo</v>
      </c>
      <c r="C250" t="str">
        <f t="shared" si="14"/>
        <v>setembro</v>
      </c>
      <c r="D250">
        <f t="shared" si="15"/>
        <v>2026</v>
      </c>
      <c r="E250" s="8"/>
      <c r="F250" s="8"/>
      <c r="G250" t="str">
        <f t="shared" si="12"/>
        <v>NÃO</v>
      </c>
    </row>
    <row r="251" spans="1:7" x14ac:dyDescent="0.35">
      <c r="A251" s="9">
        <v>46272</v>
      </c>
      <c r="B251" t="str">
        <f t="shared" si="13"/>
        <v>segunda-feira</v>
      </c>
      <c r="C251" t="str">
        <f t="shared" si="14"/>
        <v>setembro</v>
      </c>
      <c r="D251">
        <f t="shared" si="15"/>
        <v>2026</v>
      </c>
      <c r="E251" s="8" t="s">
        <v>29</v>
      </c>
      <c r="F251" s="8" t="s">
        <v>43</v>
      </c>
      <c r="G251" t="str">
        <f t="shared" si="12"/>
        <v>NÃO</v>
      </c>
    </row>
    <row r="252" spans="1:7" x14ac:dyDescent="0.35">
      <c r="A252" s="9">
        <v>46273</v>
      </c>
      <c r="B252" t="str">
        <f t="shared" si="13"/>
        <v>terça-feira</v>
      </c>
      <c r="C252" t="str">
        <f t="shared" si="14"/>
        <v>setembro</v>
      </c>
      <c r="D252">
        <f t="shared" si="15"/>
        <v>2026</v>
      </c>
      <c r="E252" s="8"/>
      <c r="F252" s="8"/>
      <c r="G252" t="str">
        <f t="shared" si="12"/>
        <v>SIM</v>
      </c>
    </row>
    <row r="253" spans="1:7" x14ac:dyDescent="0.35">
      <c r="A253" s="9">
        <v>46274</v>
      </c>
      <c r="B253" t="str">
        <f t="shared" si="13"/>
        <v>quarta-feira</v>
      </c>
      <c r="C253" t="str">
        <f t="shared" si="14"/>
        <v>setembro</v>
      </c>
      <c r="D253">
        <f t="shared" si="15"/>
        <v>2026</v>
      </c>
      <c r="E253" s="8"/>
      <c r="F253" s="8"/>
      <c r="G253" t="str">
        <f t="shared" si="12"/>
        <v>SIM</v>
      </c>
    </row>
    <row r="254" spans="1:7" x14ac:dyDescent="0.35">
      <c r="A254" s="9">
        <v>46275</v>
      </c>
      <c r="B254" t="str">
        <f t="shared" si="13"/>
        <v>quinta-feira</v>
      </c>
      <c r="C254" t="str">
        <f t="shared" si="14"/>
        <v>setembro</v>
      </c>
      <c r="D254">
        <f t="shared" si="15"/>
        <v>2026</v>
      </c>
      <c r="E254" s="8"/>
      <c r="F254" s="8"/>
      <c r="G254" t="str">
        <f t="shared" si="12"/>
        <v>SIM</v>
      </c>
    </row>
    <row r="255" spans="1:7" x14ac:dyDescent="0.35">
      <c r="A255" s="9">
        <v>46276</v>
      </c>
      <c r="B255" t="str">
        <f t="shared" si="13"/>
        <v>sexta-feira</v>
      </c>
      <c r="C255" t="str">
        <f t="shared" si="14"/>
        <v>setembro</v>
      </c>
      <c r="D255">
        <f t="shared" si="15"/>
        <v>2026</v>
      </c>
      <c r="E255" s="8"/>
      <c r="F255" s="8"/>
      <c r="G255" t="str">
        <f t="shared" si="12"/>
        <v>SIM</v>
      </c>
    </row>
    <row r="256" spans="1:7" x14ac:dyDescent="0.35">
      <c r="A256" s="9">
        <v>46277</v>
      </c>
      <c r="B256" t="str">
        <f t="shared" si="13"/>
        <v>sábado</v>
      </c>
      <c r="C256" t="str">
        <f t="shared" si="14"/>
        <v>setembro</v>
      </c>
      <c r="D256">
        <f t="shared" si="15"/>
        <v>2026</v>
      </c>
      <c r="E256" s="8"/>
      <c r="F256" s="8"/>
      <c r="G256" t="str">
        <f t="shared" si="12"/>
        <v>NÃO</v>
      </c>
    </row>
    <row r="257" spans="1:7" x14ac:dyDescent="0.35">
      <c r="A257" s="9">
        <v>46278</v>
      </c>
      <c r="B257" t="str">
        <f t="shared" si="13"/>
        <v>domingo</v>
      </c>
      <c r="C257" t="str">
        <f t="shared" si="14"/>
        <v>setembro</v>
      </c>
      <c r="D257">
        <f t="shared" si="15"/>
        <v>2026</v>
      </c>
      <c r="E257" s="8"/>
      <c r="F257" s="8"/>
      <c r="G257" t="str">
        <f t="shared" si="12"/>
        <v>NÃO</v>
      </c>
    </row>
    <row r="258" spans="1:7" x14ac:dyDescent="0.35">
      <c r="A258" s="9">
        <v>46279</v>
      </c>
      <c r="B258" t="str">
        <f t="shared" si="13"/>
        <v>segunda-feira</v>
      </c>
      <c r="C258" t="str">
        <f t="shared" si="14"/>
        <v>setembro</v>
      </c>
      <c r="D258">
        <f t="shared" si="15"/>
        <v>2026</v>
      </c>
      <c r="E258" s="8"/>
      <c r="F258" s="8"/>
      <c r="G258" t="str">
        <f t="shared" ref="G258:G321" si="16">IF(OR(E258="Feriado",E258="Recesso",B258="domingo",B258="sábado"),"NÃO","SIM")</f>
        <v>SIM</v>
      </c>
    </row>
    <row r="259" spans="1:7" x14ac:dyDescent="0.35">
      <c r="A259" s="9">
        <v>46280</v>
      </c>
      <c r="B259" t="str">
        <f t="shared" ref="B259:B322" si="17">TEXT(A259,"dddd")</f>
        <v>terça-feira</v>
      </c>
      <c r="C259" t="str">
        <f t="shared" ref="C259:C322" si="18">TEXT(A259,"mmmm")</f>
        <v>setembro</v>
      </c>
      <c r="D259">
        <f t="shared" ref="D259:D322" si="19">YEAR(A259)</f>
        <v>2026</v>
      </c>
      <c r="E259" s="8"/>
      <c r="F259" s="8"/>
      <c r="G259" t="str">
        <f t="shared" si="16"/>
        <v>SIM</v>
      </c>
    </row>
    <row r="260" spans="1:7" x14ac:dyDescent="0.35">
      <c r="A260" s="9">
        <v>46281</v>
      </c>
      <c r="B260" t="str">
        <f t="shared" si="17"/>
        <v>quarta-feira</v>
      </c>
      <c r="C260" t="str">
        <f t="shared" si="18"/>
        <v>setembro</v>
      </c>
      <c r="D260">
        <f t="shared" si="19"/>
        <v>2026</v>
      </c>
      <c r="E260" s="8"/>
      <c r="F260" s="8"/>
      <c r="G260" t="str">
        <f t="shared" si="16"/>
        <v>SIM</v>
      </c>
    </row>
    <row r="261" spans="1:7" x14ac:dyDescent="0.35">
      <c r="A261" s="9">
        <v>46282</v>
      </c>
      <c r="B261" t="str">
        <f t="shared" si="17"/>
        <v>quinta-feira</v>
      </c>
      <c r="C261" t="str">
        <f t="shared" si="18"/>
        <v>setembro</v>
      </c>
      <c r="D261">
        <f t="shared" si="19"/>
        <v>2026</v>
      </c>
      <c r="E261" s="8"/>
      <c r="F261" s="8"/>
      <c r="G261" t="str">
        <f t="shared" si="16"/>
        <v>SIM</v>
      </c>
    </row>
    <row r="262" spans="1:7" x14ac:dyDescent="0.35">
      <c r="A262" s="9">
        <v>46283</v>
      </c>
      <c r="B262" t="str">
        <f t="shared" si="17"/>
        <v>sexta-feira</v>
      </c>
      <c r="C262" t="str">
        <f t="shared" si="18"/>
        <v>setembro</v>
      </c>
      <c r="D262">
        <f t="shared" si="19"/>
        <v>2026</v>
      </c>
      <c r="E262" s="8"/>
      <c r="F262" s="8"/>
      <c r="G262" t="str">
        <f t="shared" si="16"/>
        <v>SIM</v>
      </c>
    </row>
    <row r="263" spans="1:7" x14ac:dyDescent="0.35">
      <c r="A263" s="9">
        <v>46284</v>
      </c>
      <c r="B263" t="str">
        <f t="shared" si="17"/>
        <v>sábado</v>
      </c>
      <c r="C263" t="str">
        <f t="shared" si="18"/>
        <v>setembro</v>
      </c>
      <c r="D263">
        <f t="shared" si="19"/>
        <v>2026</v>
      </c>
      <c r="E263" s="8"/>
      <c r="F263" s="8"/>
      <c r="G263" t="str">
        <f t="shared" si="16"/>
        <v>NÃO</v>
      </c>
    </row>
    <row r="264" spans="1:7" x14ac:dyDescent="0.35">
      <c r="A264" s="9">
        <v>46285</v>
      </c>
      <c r="B264" t="str">
        <f t="shared" si="17"/>
        <v>domingo</v>
      </c>
      <c r="C264" t="str">
        <f t="shared" si="18"/>
        <v>setembro</v>
      </c>
      <c r="D264">
        <f t="shared" si="19"/>
        <v>2026</v>
      </c>
      <c r="E264" s="8"/>
      <c r="F264" s="8"/>
      <c r="G264" t="str">
        <f t="shared" si="16"/>
        <v>NÃO</v>
      </c>
    </row>
    <row r="265" spans="1:7" x14ac:dyDescent="0.35">
      <c r="A265" s="9">
        <v>46286</v>
      </c>
      <c r="B265" t="str">
        <f t="shared" si="17"/>
        <v>segunda-feira</v>
      </c>
      <c r="C265" t="str">
        <f t="shared" si="18"/>
        <v>setembro</v>
      </c>
      <c r="D265">
        <f t="shared" si="19"/>
        <v>2026</v>
      </c>
      <c r="E265" s="8"/>
      <c r="F265" s="8"/>
      <c r="G265" t="str">
        <f t="shared" si="16"/>
        <v>SIM</v>
      </c>
    </row>
    <row r="266" spans="1:7" x14ac:dyDescent="0.35">
      <c r="A266" s="9">
        <v>46287</v>
      </c>
      <c r="B266" t="str">
        <f t="shared" si="17"/>
        <v>terça-feira</v>
      </c>
      <c r="C266" t="str">
        <f t="shared" si="18"/>
        <v>setembro</v>
      </c>
      <c r="D266">
        <f t="shared" si="19"/>
        <v>2026</v>
      </c>
      <c r="E266" s="8"/>
      <c r="F266" s="8"/>
      <c r="G266" t="str">
        <f t="shared" si="16"/>
        <v>SIM</v>
      </c>
    </row>
    <row r="267" spans="1:7" x14ac:dyDescent="0.35">
      <c r="A267" s="9">
        <v>46288</v>
      </c>
      <c r="B267" t="str">
        <f t="shared" si="17"/>
        <v>quarta-feira</v>
      </c>
      <c r="C267" t="str">
        <f t="shared" si="18"/>
        <v>setembro</v>
      </c>
      <c r="D267">
        <f t="shared" si="19"/>
        <v>2026</v>
      </c>
      <c r="E267" s="8"/>
      <c r="F267" s="8"/>
      <c r="G267" t="str">
        <f t="shared" si="16"/>
        <v>SIM</v>
      </c>
    </row>
    <row r="268" spans="1:7" x14ac:dyDescent="0.35">
      <c r="A268" s="9">
        <v>46289</v>
      </c>
      <c r="B268" t="str">
        <f t="shared" si="17"/>
        <v>quinta-feira</v>
      </c>
      <c r="C268" t="str">
        <f t="shared" si="18"/>
        <v>setembro</v>
      </c>
      <c r="D268">
        <f t="shared" si="19"/>
        <v>2026</v>
      </c>
      <c r="E268" s="8"/>
      <c r="F268" s="8"/>
      <c r="G268" t="str">
        <f t="shared" si="16"/>
        <v>SIM</v>
      </c>
    </row>
    <row r="269" spans="1:7" x14ac:dyDescent="0.35">
      <c r="A269" s="9">
        <v>46290</v>
      </c>
      <c r="B269" t="str">
        <f t="shared" si="17"/>
        <v>sexta-feira</v>
      </c>
      <c r="C269" t="str">
        <f t="shared" si="18"/>
        <v>setembro</v>
      </c>
      <c r="D269">
        <f t="shared" si="19"/>
        <v>2026</v>
      </c>
      <c r="E269" s="8"/>
      <c r="F269" s="8"/>
      <c r="G269" t="str">
        <f t="shared" si="16"/>
        <v>SIM</v>
      </c>
    </row>
    <row r="270" spans="1:7" x14ac:dyDescent="0.35">
      <c r="A270" s="9">
        <v>46291</v>
      </c>
      <c r="B270" t="str">
        <f t="shared" si="17"/>
        <v>sábado</v>
      </c>
      <c r="C270" t="str">
        <f t="shared" si="18"/>
        <v>setembro</v>
      </c>
      <c r="D270">
        <f t="shared" si="19"/>
        <v>2026</v>
      </c>
      <c r="E270" s="8"/>
      <c r="F270" s="8"/>
      <c r="G270" t="str">
        <f t="shared" si="16"/>
        <v>NÃO</v>
      </c>
    </row>
    <row r="271" spans="1:7" x14ac:dyDescent="0.35">
      <c r="A271" s="9">
        <v>46292</v>
      </c>
      <c r="B271" t="str">
        <f t="shared" si="17"/>
        <v>domingo</v>
      </c>
      <c r="C271" t="str">
        <f t="shared" si="18"/>
        <v>setembro</v>
      </c>
      <c r="D271">
        <f t="shared" si="19"/>
        <v>2026</v>
      </c>
      <c r="E271" s="8"/>
      <c r="F271" s="8"/>
      <c r="G271" t="str">
        <f t="shared" si="16"/>
        <v>NÃO</v>
      </c>
    </row>
    <row r="272" spans="1:7" x14ac:dyDescent="0.35">
      <c r="A272" s="9">
        <v>46293</v>
      </c>
      <c r="B272" t="str">
        <f t="shared" si="17"/>
        <v>segunda-feira</v>
      </c>
      <c r="C272" t="str">
        <f t="shared" si="18"/>
        <v>setembro</v>
      </c>
      <c r="D272">
        <f t="shared" si="19"/>
        <v>2026</v>
      </c>
      <c r="E272" s="8"/>
      <c r="F272" s="8"/>
      <c r="G272" t="str">
        <f t="shared" si="16"/>
        <v>SIM</v>
      </c>
    </row>
    <row r="273" spans="1:7" x14ac:dyDescent="0.35">
      <c r="A273" s="9">
        <v>46294</v>
      </c>
      <c r="B273" t="str">
        <f t="shared" si="17"/>
        <v>terça-feira</v>
      </c>
      <c r="C273" t="str">
        <f t="shared" si="18"/>
        <v>setembro</v>
      </c>
      <c r="D273">
        <f t="shared" si="19"/>
        <v>2026</v>
      </c>
      <c r="E273" s="8"/>
      <c r="F273" s="8"/>
      <c r="G273" t="str">
        <f t="shared" si="16"/>
        <v>SIM</v>
      </c>
    </row>
    <row r="274" spans="1:7" x14ac:dyDescent="0.35">
      <c r="A274" s="9">
        <v>46295</v>
      </c>
      <c r="B274" t="str">
        <f t="shared" si="17"/>
        <v>quarta-feira</v>
      </c>
      <c r="C274" t="str">
        <f t="shared" si="18"/>
        <v>setembro</v>
      </c>
      <c r="D274">
        <f t="shared" si="19"/>
        <v>2026</v>
      </c>
      <c r="E274" s="8"/>
      <c r="F274" s="8"/>
      <c r="G274" t="str">
        <f t="shared" si="16"/>
        <v>SIM</v>
      </c>
    </row>
    <row r="275" spans="1:7" x14ac:dyDescent="0.35">
      <c r="A275" s="9">
        <v>46296</v>
      </c>
      <c r="B275" t="str">
        <f t="shared" si="17"/>
        <v>quinta-feira</v>
      </c>
      <c r="C275" t="str">
        <f t="shared" si="18"/>
        <v>outubro</v>
      </c>
      <c r="D275">
        <f t="shared" si="19"/>
        <v>2026</v>
      </c>
      <c r="E275" s="8"/>
      <c r="F275" s="8"/>
      <c r="G275" t="str">
        <f t="shared" si="16"/>
        <v>SIM</v>
      </c>
    </row>
    <row r="276" spans="1:7" x14ac:dyDescent="0.35">
      <c r="A276" s="9">
        <v>46297</v>
      </c>
      <c r="B276" t="str">
        <f t="shared" si="17"/>
        <v>sexta-feira</v>
      </c>
      <c r="C276" t="str">
        <f t="shared" si="18"/>
        <v>outubro</v>
      </c>
      <c r="D276">
        <f t="shared" si="19"/>
        <v>2026</v>
      </c>
      <c r="E276" s="8"/>
      <c r="F276" s="8"/>
      <c r="G276" t="str">
        <f t="shared" si="16"/>
        <v>SIM</v>
      </c>
    </row>
    <row r="277" spans="1:7" x14ac:dyDescent="0.35">
      <c r="A277" s="9">
        <v>46298</v>
      </c>
      <c r="B277" t="str">
        <f t="shared" si="17"/>
        <v>sábado</v>
      </c>
      <c r="C277" t="str">
        <f t="shared" si="18"/>
        <v>outubro</v>
      </c>
      <c r="D277">
        <f t="shared" si="19"/>
        <v>2026</v>
      </c>
      <c r="E277" s="8"/>
      <c r="F277" s="8"/>
      <c r="G277" t="str">
        <f t="shared" si="16"/>
        <v>NÃO</v>
      </c>
    </row>
    <row r="278" spans="1:7" x14ac:dyDescent="0.35">
      <c r="A278" s="9">
        <v>46299</v>
      </c>
      <c r="B278" t="str">
        <f t="shared" si="17"/>
        <v>domingo</v>
      </c>
      <c r="C278" t="str">
        <f t="shared" si="18"/>
        <v>outubro</v>
      </c>
      <c r="D278">
        <f t="shared" si="19"/>
        <v>2026</v>
      </c>
      <c r="E278" s="8"/>
      <c r="F278" s="8"/>
      <c r="G278" t="str">
        <f t="shared" si="16"/>
        <v>NÃO</v>
      </c>
    </row>
    <row r="279" spans="1:7" x14ac:dyDescent="0.35">
      <c r="A279" s="9">
        <v>46300</v>
      </c>
      <c r="B279" t="str">
        <f t="shared" si="17"/>
        <v>segunda-feira</v>
      </c>
      <c r="C279" t="str">
        <f t="shared" si="18"/>
        <v>outubro</v>
      </c>
      <c r="D279">
        <f t="shared" si="19"/>
        <v>2026</v>
      </c>
      <c r="E279" s="8"/>
      <c r="F279" s="8"/>
      <c r="G279" t="str">
        <f t="shared" si="16"/>
        <v>SIM</v>
      </c>
    </row>
    <row r="280" spans="1:7" x14ac:dyDescent="0.35">
      <c r="A280" s="9">
        <v>46301</v>
      </c>
      <c r="B280" t="str">
        <f t="shared" si="17"/>
        <v>terça-feira</v>
      </c>
      <c r="C280" t="str">
        <f t="shared" si="18"/>
        <v>outubro</v>
      </c>
      <c r="D280">
        <f t="shared" si="19"/>
        <v>2026</v>
      </c>
      <c r="E280" s="8"/>
      <c r="F280" s="8"/>
      <c r="G280" t="str">
        <f t="shared" si="16"/>
        <v>SIM</v>
      </c>
    </row>
    <row r="281" spans="1:7" x14ac:dyDescent="0.35">
      <c r="A281" s="9">
        <v>46302</v>
      </c>
      <c r="B281" t="str">
        <f t="shared" si="17"/>
        <v>quarta-feira</v>
      </c>
      <c r="C281" t="str">
        <f t="shared" si="18"/>
        <v>outubro</v>
      </c>
      <c r="D281">
        <f t="shared" si="19"/>
        <v>2026</v>
      </c>
      <c r="E281" s="8"/>
      <c r="F281" s="8"/>
      <c r="G281" t="str">
        <f t="shared" si="16"/>
        <v>SIM</v>
      </c>
    </row>
    <row r="282" spans="1:7" x14ac:dyDescent="0.35">
      <c r="A282" s="9">
        <v>46303</v>
      </c>
      <c r="B282" t="str">
        <f t="shared" si="17"/>
        <v>quinta-feira</v>
      </c>
      <c r="C282" t="str">
        <f t="shared" si="18"/>
        <v>outubro</v>
      </c>
      <c r="D282">
        <f t="shared" si="19"/>
        <v>2026</v>
      </c>
      <c r="E282" s="8"/>
      <c r="F282" s="8"/>
      <c r="G282" t="str">
        <f t="shared" si="16"/>
        <v>SIM</v>
      </c>
    </row>
    <row r="283" spans="1:7" x14ac:dyDescent="0.35">
      <c r="A283" s="9">
        <v>46304</v>
      </c>
      <c r="B283" t="str">
        <f t="shared" si="17"/>
        <v>sexta-feira</v>
      </c>
      <c r="C283" t="str">
        <f t="shared" si="18"/>
        <v>outubro</v>
      </c>
      <c r="D283">
        <f t="shared" si="19"/>
        <v>2026</v>
      </c>
      <c r="E283" s="8"/>
      <c r="F283" s="8"/>
      <c r="G283" t="str">
        <f t="shared" si="16"/>
        <v>SIM</v>
      </c>
    </row>
    <row r="284" spans="1:7" x14ac:dyDescent="0.35">
      <c r="A284" s="9">
        <v>46305</v>
      </c>
      <c r="B284" t="str">
        <f t="shared" si="17"/>
        <v>sábado</v>
      </c>
      <c r="C284" t="str">
        <f t="shared" si="18"/>
        <v>outubro</v>
      </c>
      <c r="D284">
        <f t="shared" si="19"/>
        <v>2026</v>
      </c>
      <c r="E284" s="8"/>
      <c r="F284" s="8"/>
      <c r="G284" t="str">
        <f t="shared" si="16"/>
        <v>NÃO</v>
      </c>
    </row>
    <row r="285" spans="1:7" x14ac:dyDescent="0.35">
      <c r="A285" s="9">
        <v>46306</v>
      </c>
      <c r="B285" t="str">
        <f t="shared" si="17"/>
        <v>domingo</v>
      </c>
      <c r="C285" t="str">
        <f t="shared" si="18"/>
        <v>outubro</v>
      </c>
      <c r="D285">
        <f t="shared" si="19"/>
        <v>2026</v>
      </c>
      <c r="E285" s="8"/>
      <c r="F285" s="8"/>
      <c r="G285" t="str">
        <f t="shared" si="16"/>
        <v>NÃO</v>
      </c>
    </row>
    <row r="286" spans="1:7" x14ac:dyDescent="0.35">
      <c r="A286" s="9">
        <v>46307</v>
      </c>
      <c r="B286" t="str">
        <f t="shared" si="17"/>
        <v>segunda-feira</v>
      </c>
      <c r="C286" t="str">
        <f t="shared" si="18"/>
        <v>outubro</v>
      </c>
      <c r="D286">
        <f t="shared" si="19"/>
        <v>2026</v>
      </c>
      <c r="E286" s="8" t="s">
        <v>29</v>
      </c>
      <c r="F286" s="8" t="s">
        <v>44</v>
      </c>
      <c r="G286" t="str">
        <f t="shared" si="16"/>
        <v>NÃO</v>
      </c>
    </row>
    <row r="287" spans="1:7" x14ac:dyDescent="0.35">
      <c r="A287" s="9">
        <v>46308</v>
      </c>
      <c r="B287" t="str">
        <f t="shared" si="17"/>
        <v>terça-feira</v>
      </c>
      <c r="C287" t="str">
        <f t="shared" si="18"/>
        <v>outubro</v>
      </c>
      <c r="D287">
        <f t="shared" si="19"/>
        <v>2026</v>
      </c>
      <c r="E287" s="8"/>
      <c r="F287" s="8"/>
      <c r="G287" t="str">
        <f t="shared" si="16"/>
        <v>SIM</v>
      </c>
    </row>
    <row r="288" spans="1:7" x14ac:dyDescent="0.35">
      <c r="A288" s="9">
        <v>46309</v>
      </c>
      <c r="B288" t="str">
        <f t="shared" si="17"/>
        <v>quarta-feira</v>
      </c>
      <c r="C288" t="str">
        <f t="shared" si="18"/>
        <v>outubro</v>
      </c>
      <c r="D288">
        <f t="shared" si="19"/>
        <v>2026</v>
      </c>
      <c r="E288" s="8"/>
      <c r="F288" s="8"/>
      <c r="G288" t="str">
        <f t="shared" si="16"/>
        <v>SIM</v>
      </c>
    </row>
    <row r="289" spans="1:7" x14ac:dyDescent="0.35">
      <c r="A289" s="9">
        <v>46310</v>
      </c>
      <c r="B289" t="str">
        <f t="shared" si="17"/>
        <v>quinta-feira</v>
      </c>
      <c r="C289" t="str">
        <f t="shared" si="18"/>
        <v>outubro</v>
      </c>
      <c r="D289">
        <f t="shared" si="19"/>
        <v>2026</v>
      </c>
      <c r="E289" s="8"/>
      <c r="F289" s="8"/>
      <c r="G289" t="str">
        <f t="shared" si="16"/>
        <v>SIM</v>
      </c>
    </row>
    <row r="290" spans="1:7" x14ac:dyDescent="0.35">
      <c r="A290" s="9">
        <v>46311</v>
      </c>
      <c r="B290" t="str">
        <f t="shared" si="17"/>
        <v>sexta-feira</v>
      </c>
      <c r="C290" t="str">
        <f t="shared" si="18"/>
        <v>outubro</v>
      </c>
      <c r="D290">
        <f t="shared" si="19"/>
        <v>2026</v>
      </c>
      <c r="E290" s="8"/>
      <c r="F290" s="8"/>
      <c r="G290" t="str">
        <f t="shared" si="16"/>
        <v>SIM</v>
      </c>
    </row>
    <row r="291" spans="1:7" x14ac:dyDescent="0.35">
      <c r="A291" s="9">
        <v>46312</v>
      </c>
      <c r="B291" t="str">
        <f t="shared" si="17"/>
        <v>sábado</v>
      </c>
      <c r="C291" t="str">
        <f t="shared" si="18"/>
        <v>outubro</v>
      </c>
      <c r="D291">
        <f t="shared" si="19"/>
        <v>2026</v>
      </c>
      <c r="E291" s="8"/>
      <c r="F291" s="8"/>
      <c r="G291" t="str">
        <f t="shared" si="16"/>
        <v>NÃO</v>
      </c>
    </row>
    <row r="292" spans="1:7" x14ac:dyDescent="0.35">
      <c r="A292" s="9">
        <v>46313</v>
      </c>
      <c r="B292" t="str">
        <f t="shared" si="17"/>
        <v>domingo</v>
      </c>
      <c r="C292" t="str">
        <f t="shared" si="18"/>
        <v>outubro</v>
      </c>
      <c r="D292">
        <f t="shared" si="19"/>
        <v>2026</v>
      </c>
      <c r="E292" s="8"/>
      <c r="F292" s="8"/>
      <c r="G292" t="str">
        <f t="shared" si="16"/>
        <v>NÃO</v>
      </c>
    </row>
    <row r="293" spans="1:7" x14ac:dyDescent="0.35">
      <c r="A293" s="9">
        <v>46314</v>
      </c>
      <c r="B293" t="str">
        <f t="shared" si="17"/>
        <v>segunda-feira</v>
      </c>
      <c r="C293" t="str">
        <f t="shared" si="18"/>
        <v>outubro</v>
      </c>
      <c r="D293">
        <f t="shared" si="19"/>
        <v>2026</v>
      </c>
      <c r="E293" s="8"/>
      <c r="F293" s="8"/>
      <c r="G293" t="str">
        <f t="shared" si="16"/>
        <v>SIM</v>
      </c>
    </row>
    <row r="294" spans="1:7" x14ac:dyDescent="0.35">
      <c r="A294" s="9">
        <v>46315</v>
      </c>
      <c r="B294" t="str">
        <f t="shared" si="17"/>
        <v>terça-feira</v>
      </c>
      <c r="C294" t="str">
        <f t="shared" si="18"/>
        <v>outubro</v>
      </c>
      <c r="D294">
        <f t="shared" si="19"/>
        <v>2026</v>
      </c>
      <c r="E294" s="8"/>
      <c r="F294" s="8"/>
      <c r="G294" t="str">
        <f t="shared" si="16"/>
        <v>SIM</v>
      </c>
    </row>
    <row r="295" spans="1:7" x14ac:dyDescent="0.35">
      <c r="A295" s="9">
        <v>46316</v>
      </c>
      <c r="B295" t="str">
        <f t="shared" si="17"/>
        <v>quarta-feira</v>
      </c>
      <c r="C295" t="str">
        <f t="shared" si="18"/>
        <v>outubro</v>
      </c>
      <c r="D295">
        <f t="shared" si="19"/>
        <v>2026</v>
      </c>
      <c r="E295" s="8"/>
      <c r="F295" s="8"/>
      <c r="G295" t="str">
        <f t="shared" si="16"/>
        <v>SIM</v>
      </c>
    </row>
    <row r="296" spans="1:7" x14ac:dyDescent="0.35">
      <c r="A296" s="9">
        <v>46317</v>
      </c>
      <c r="B296" t="str">
        <f t="shared" si="17"/>
        <v>quinta-feira</v>
      </c>
      <c r="C296" t="str">
        <f t="shared" si="18"/>
        <v>outubro</v>
      </c>
      <c r="D296">
        <f t="shared" si="19"/>
        <v>2026</v>
      </c>
      <c r="E296" s="8"/>
      <c r="F296" s="8"/>
      <c r="G296" t="str">
        <f t="shared" si="16"/>
        <v>SIM</v>
      </c>
    </row>
    <row r="297" spans="1:7" x14ac:dyDescent="0.35">
      <c r="A297" s="9">
        <v>46318</v>
      </c>
      <c r="B297" t="str">
        <f t="shared" si="17"/>
        <v>sexta-feira</v>
      </c>
      <c r="C297" t="str">
        <f t="shared" si="18"/>
        <v>outubro</v>
      </c>
      <c r="D297">
        <f t="shared" si="19"/>
        <v>2026</v>
      </c>
      <c r="E297" s="8"/>
      <c r="F297" s="8"/>
      <c r="G297" t="str">
        <f t="shared" si="16"/>
        <v>SIM</v>
      </c>
    </row>
    <row r="298" spans="1:7" x14ac:dyDescent="0.35">
      <c r="A298" s="9">
        <v>46319</v>
      </c>
      <c r="B298" t="str">
        <f t="shared" si="17"/>
        <v>sábado</v>
      </c>
      <c r="C298" t="str">
        <f t="shared" si="18"/>
        <v>outubro</v>
      </c>
      <c r="D298">
        <f t="shared" si="19"/>
        <v>2026</v>
      </c>
      <c r="E298" s="8"/>
      <c r="F298" s="8"/>
      <c r="G298" t="str">
        <f t="shared" si="16"/>
        <v>NÃO</v>
      </c>
    </row>
    <row r="299" spans="1:7" x14ac:dyDescent="0.35">
      <c r="A299" s="9">
        <v>46320</v>
      </c>
      <c r="B299" t="str">
        <f t="shared" si="17"/>
        <v>domingo</v>
      </c>
      <c r="C299" t="str">
        <f t="shared" si="18"/>
        <v>outubro</v>
      </c>
      <c r="D299">
        <f t="shared" si="19"/>
        <v>2026</v>
      </c>
      <c r="E299" s="8"/>
      <c r="F299" s="8"/>
      <c r="G299" t="str">
        <f t="shared" si="16"/>
        <v>NÃO</v>
      </c>
    </row>
    <row r="300" spans="1:7" x14ac:dyDescent="0.35">
      <c r="A300" s="9">
        <v>46321</v>
      </c>
      <c r="B300" t="str">
        <f t="shared" si="17"/>
        <v>segunda-feira</v>
      </c>
      <c r="C300" t="str">
        <f t="shared" si="18"/>
        <v>outubro</v>
      </c>
      <c r="D300">
        <f t="shared" si="19"/>
        <v>2026</v>
      </c>
      <c r="E300" s="8"/>
      <c r="F300" s="8"/>
      <c r="G300" t="str">
        <f t="shared" si="16"/>
        <v>SIM</v>
      </c>
    </row>
    <row r="301" spans="1:7" x14ac:dyDescent="0.35">
      <c r="A301" s="9">
        <v>46322</v>
      </c>
      <c r="B301" t="str">
        <f t="shared" si="17"/>
        <v>terça-feira</v>
      </c>
      <c r="C301" t="str">
        <f t="shared" si="18"/>
        <v>outubro</v>
      </c>
      <c r="D301">
        <f t="shared" si="19"/>
        <v>2026</v>
      </c>
      <c r="E301" s="8"/>
      <c r="F301" s="8"/>
      <c r="G301" t="str">
        <f t="shared" si="16"/>
        <v>SIM</v>
      </c>
    </row>
    <row r="302" spans="1:7" x14ac:dyDescent="0.35">
      <c r="A302" s="9">
        <v>46323</v>
      </c>
      <c r="B302" t="str">
        <f t="shared" si="17"/>
        <v>quarta-feira</v>
      </c>
      <c r="C302" t="str">
        <f t="shared" si="18"/>
        <v>outubro</v>
      </c>
      <c r="D302">
        <f t="shared" si="19"/>
        <v>2026</v>
      </c>
      <c r="E302" s="8"/>
      <c r="F302" s="8"/>
      <c r="G302" t="str">
        <f t="shared" si="16"/>
        <v>SIM</v>
      </c>
    </row>
    <row r="303" spans="1:7" x14ac:dyDescent="0.35">
      <c r="A303" s="9">
        <v>46324</v>
      </c>
      <c r="B303" t="str">
        <f t="shared" si="17"/>
        <v>quinta-feira</v>
      </c>
      <c r="C303" t="str">
        <f t="shared" si="18"/>
        <v>outubro</v>
      </c>
      <c r="D303">
        <f t="shared" si="19"/>
        <v>2026</v>
      </c>
      <c r="E303" s="8"/>
      <c r="F303" s="8"/>
      <c r="G303" t="str">
        <f t="shared" si="16"/>
        <v>SIM</v>
      </c>
    </row>
    <row r="304" spans="1:7" x14ac:dyDescent="0.35">
      <c r="A304" s="9">
        <v>46325</v>
      </c>
      <c r="B304" t="str">
        <f t="shared" si="17"/>
        <v>sexta-feira</v>
      </c>
      <c r="C304" t="str">
        <f t="shared" si="18"/>
        <v>outubro</v>
      </c>
      <c r="D304">
        <f t="shared" si="19"/>
        <v>2026</v>
      </c>
      <c r="E304" s="8"/>
      <c r="F304" s="8"/>
      <c r="G304" t="str">
        <f t="shared" si="16"/>
        <v>SIM</v>
      </c>
    </row>
    <row r="305" spans="1:7" x14ac:dyDescent="0.35">
      <c r="A305" s="9">
        <v>46326</v>
      </c>
      <c r="B305" t="str">
        <f t="shared" si="17"/>
        <v>sábado</v>
      </c>
      <c r="C305" t="str">
        <f t="shared" si="18"/>
        <v>outubro</v>
      </c>
      <c r="D305">
        <f t="shared" si="19"/>
        <v>2026</v>
      </c>
      <c r="E305" s="8"/>
      <c r="F305" s="8"/>
      <c r="G305" t="str">
        <f t="shared" si="16"/>
        <v>NÃO</v>
      </c>
    </row>
    <row r="306" spans="1:7" x14ac:dyDescent="0.35">
      <c r="A306" s="9">
        <v>46327</v>
      </c>
      <c r="B306" t="str">
        <f t="shared" si="17"/>
        <v>domingo</v>
      </c>
      <c r="C306" t="str">
        <f t="shared" si="18"/>
        <v>novembro</v>
      </c>
      <c r="D306">
        <f t="shared" si="19"/>
        <v>2026</v>
      </c>
      <c r="E306" s="8"/>
      <c r="F306" s="8"/>
      <c r="G306" t="str">
        <f t="shared" si="16"/>
        <v>NÃO</v>
      </c>
    </row>
    <row r="307" spans="1:7" x14ac:dyDescent="0.35">
      <c r="A307" s="9">
        <v>46328</v>
      </c>
      <c r="B307" t="str">
        <f t="shared" si="17"/>
        <v>segunda-feira</v>
      </c>
      <c r="C307" t="str">
        <f t="shared" si="18"/>
        <v>novembro</v>
      </c>
      <c r="D307">
        <f t="shared" si="19"/>
        <v>2026</v>
      </c>
      <c r="E307" s="8" t="s">
        <v>29</v>
      </c>
      <c r="F307" s="8" t="s">
        <v>45</v>
      </c>
      <c r="G307" t="str">
        <f t="shared" si="16"/>
        <v>NÃO</v>
      </c>
    </row>
    <row r="308" spans="1:7" x14ac:dyDescent="0.35">
      <c r="A308" s="9">
        <v>46329</v>
      </c>
      <c r="B308" t="str">
        <f t="shared" si="17"/>
        <v>terça-feira</v>
      </c>
      <c r="C308" t="str">
        <f t="shared" si="18"/>
        <v>novembro</v>
      </c>
      <c r="D308">
        <f t="shared" si="19"/>
        <v>2026</v>
      </c>
      <c r="E308" s="8"/>
      <c r="F308" s="8"/>
      <c r="G308" t="str">
        <f t="shared" si="16"/>
        <v>SIM</v>
      </c>
    </row>
    <row r="309" spans="1:7" x14ac:dyDescent="0.35">
      <c r="A309" s="9">
        <v>46330</v>
      </c>
      <c r="B309" t="str">
        <f t="shared" si="17"/>
        <v>quarta-feira</v>
      </c>
      <c r="C309" t="str">
        <f t="shared" si="18"/>
        <v>novembro</v>
      </c>
      <c r="D309">
        <f t="shared" si="19"/>
        <v>2026</v>
      </c>
      <c r="E309" s="8"/>
      <c r="F309" s="8"/>
      <c r="G309" t="str">
        <f t="shared" si="16"/>
        <v>SIM</v>
      </c>
    </row>
    <row r="310" spans="1:7" x14ac:dyDescent="0.35">
      <c r="A310" s="9">
        <v>46331</v>
      </c>
      <c r="B310" t="str">
        <f t="shared" si="17"/>
        <v>quinta-feira</v>
      </c>
      <c r="C310" t="str">
        <f t="shared" si="18"/>
        <v>novembro</v>
      </c>
      <c r="D310">
        <f t="shared" si="19"/>
        <v>2026</v>
      </c>
      <c r="E310" s="8"/>
      <c r="F310" s="8"/>
      <c r="G310" t="str">
        <f t="shared" si="16"/>
        <v>SIM</v>
      </c>
    </row>
    <row r="311" spans="1:7" x14ac:dyDescent="0.35">
      <c r="A311" s="9">
        <v>46332</v>
      </c>
      <c r="B311" t="str">
        <f t="shared" si="17"/>
        <v>sexta-feira</v>
      </c>
      <c r="C311" t="str">
        <f t="shared" si="18"/>
        <v>novembro</v>
      </c>
      <c r="D311">
        <f t="shared" si="19"/>
        <v>2026</v>
      </c>
      <c r="E311" s="8"/>
      <c r="F311" s="8"/>
      <c r="G311" t="str">
        <f t="shared" si="16"/>
        <v>SIM</v>
      </c>
    </row>
    <row r="312" spans="1:7" x14ac:dyDescent="0.35">
      <c r="A312" s="9">
        <v>46333</v>
      </c>
      <c r="B312" t="str">
        <f t="shared" si="17"/>
        <v>sábado</v>
      </c>
      <c r="C312" t="str">
        <f t="shared" si="18"/>
        <v>novembro</v>
      </c>
      <c r="D312">
        <f t="shared" si="19"/>
        <v>2026</v>
      </c>
      <c r="E312" s="8"/>
      <c r="F312" s="8"/>
      <c r="G312" t="str">
        <f t="shared" si="16"/>
        <v>NÃO</v>
      </c>
    </row>
    <row r="313" spans="1:7" x14ac:dyDescent="0.35">
      <c r="A313" s="9">
        <v>46334</v>
      </c>
      <c r="B313" t="str">
        <f t="shared" si="17"/>
        <v>domingo</v>
      </c>
      <c r="C313" t="str">
        <f t="shared" si="18"/>
        <v>novembro</v>
      </c>
      <c r="D313">
        <f t="shared" si="19"/>
        <v>2026</v>
      </c>
      <c r="E313" s="8"/>
      <c r="F313" s="8"/>
      <c r="G313" t="str">
        <f t="shared" si="16"/>
        <v>NÃO</v>
      </c>
    </row>
    <row r="314" spans="1:7" x14ac:dyDescent="0.35">
      <c r="A314" s="9">
        <v>46335</v>
      </c>
      <c r="B314" t="str">
        <f t="shared" si="17"/>
        <v>segunda-feira</v>
      </c>
      <c r="C314" t="str">
        <f t="shared" si="18"/>
        <v>novembro</v>
      </c>
      <c r="D314">
        <f t="shared" si="19"/>
        <v>2026</v>
      </c>
      <c r="E314" s="8"/>
      <c r="F314" s="8"/>
      <c r="G314" t="str">
        <f t="shared" si="16"/>
        <v>SIM</v>
      </c>
    </row>
    <row r="315" spans="1:7" x14ac:dyDescent="0.35">
      <c r="A315" s="9">
        <v>46336</v>
      </c>
      <c r="B315" t="str">
        <f t="shared" si="17"/>
        <v>terça-feira</v>
      </c>
      <c r="C315" t="str">
        <f t="shared" si="18"/>
        <v>novembro</v>
      </c>
      <c r="D315">
        <f t="shared" si="19"/>
        <v>2026</v>
      </c>
      <c r="E315" s="8"/>
      <c r="F315" s="8"/>
      <c r="G315" t="str">
        <f t="shared" si="16"/>
        <v>SIM</v>
      </c>
    </row>
    <row r="316" spans="1:7" x14ac:dyDescent="0.35">
      <c r="A316" s="9">
        <v>46337</v>
      </c>
      <c r="B316" t="str">
        <f t="shared" si="17"/>
        <v>quarta-feira</v>
      </c>
      <c r="C316" t="str">
        <f t="shared" si="18"/>
        <v>novembro</v>
      </c>
      <c r="D316">
        <f t="shared" si="19"/>
        <v>2026</v>
      </c>
      <c r="E316" s="8"/>
      <c r="F316" s="8"/>
      <c r="G316" t="str">
        <f t="shared" si="16"/>
        <v>SIM</v>
      </c>
    </row>
    <row r="317" spans="1:7" x14ac:dyDescent="0.35">
      <c r="A317" s="9">
        <v>46338</v>
      </c>
      <c r="B317" t="str">
        <f t="shared" si="17"/>
        <v>quinta-feira</v>
      </c>
      <c r="C317" t="str">
        <f t="shared" si="18"/>
        <v>novembro</v>
      </c>
      <c r="D317">
        <f t="shared" si="19"/>
        <v>2026</v>
      </c>
      <c r="E317" s="8"/>
      <c r="F317" s="8"/>
      <c r="G317" t="str">
        <f t="shared" si="16"/>
        <v>SIM</v>
      </c>
    </row>
    <row r="318" spans="1:7" x14ac:dyDescent="0.35">
      <c r="A318" s="9">
        <v>46339</v>
      </c>
      <c r="B318" t="str">
        <f t="shared" si="17"/>
        <v>sexta-feira</v>
      </c>
      <c r="C318" t="str">
        <f t="shared" si="18"/>
        <v>novembro</v>
      </c>
      <c r="D318">
        <f t="shared" si="19"/>
        <v>2026</v>
      </c>
      <c r="E318" s="8"/>
      <c r="F318" s="8"/>
      <c r="G318" t="str">
        <f t="shared" si="16"/>
        <v>SIM</v>
      </c>
    </row>
    <row r="319" spans="1:7" x14ac:dyDescent="0.35">
      <c r="A319" s="9">
        <v>46340</v>
      </c>
      <c r="B319" t="str">
        <f t="shared" si="17"/>
        <v>sábado</v>
      </c>
      <c r="C319" t="str">
        <f t="shared" si="18"/>
        <v>novembro</v>
      </c>
      <c r="D319">
        <f t="shared" si="19"/>
        <v>2026</v>
      </c>
      <c r="E319" s="8"/>
      <c r="F319" s="8"/>
      <c r="G319" t="str">
        <f t="shared" si="16"/>
        <v>NÃO</v>
      </c>
    </row>
    <row r="320" spans="1:7" x14ac:dyDescent="0.35">
      <c r="A320" s="9">
        <v>46341</v>
      </c>
      <c r="B320" t="str">
        <f t="shared" si="17"/>
        <v>domingo</v>
      </c>
      <c r="C320" t="str">
        <f t="shared" si="18"/>
        <v>novembro</v>
      </c>
      <c r="D320">
        <f t="shared" si="19"/>
        <v>2026</v>
      </c>
      <c r="E320" s="8" t="s">
        <v>29</v>
      </c>
      <c r="F320" s="8" t="s">
        <v>46</v>
      </c>
      <c r="G320" t="str">
        <f t="shared" si="16"/>
        <v>NÃO</v>
      </c>
    </row>
    <row r="321" spans="1:7" x14ac:dyDescent="0.35">
      <c r="A321" s="9">
        <v>46342</v>
      </c>
      <c r="B321" t="str">
        <f t="shared" si="17"/>
        <v>segunda-feira</v>
      </c>
      <c r="C321" t="str">
        <f t="shared" si="18"/>
        <v>novembro</v>
      </c>
      <c r="D321">
        <f t="shared" si="19"/>
        <v>2026</v>
      </c>
      <c r="E321" s="8"/>
      <c r="F321" s="8"/>
      <c r="G321" t="str">
        <f t="shared" si="16"/>
        <v>SIM</v>
      </c>
    </row>
    <row r="322" spans="1:7" x14ac:dyDescent="0.35">
      <c r="A322" s="9">
        <v>46343</v>
      </c>
      <c r="B322" t="str">
        <f t="shared" si="17"/>
        <v>terça-feira</v>
      </c>
      <c r="C322" t="str">
        <f t="shared" si="18"/>
        <v>novembro</v>
      </c>
      <c r="D322">
        <f t="shared" si="19"/>
        <v>2026</v>
      </c>
      <c r="E322" s="8"/>
      <c r="F322" s="8"/>
      <c r="G322" t="str">
        <f t="shared" ref="G322:G366" si="20">IF(OR(E322="Feriado",E322="Recesso",B322="domingo",B322="sábado"),"NÃO","SIM")</f>
        <v>SIM</v>
      </c>
    </row>
    <row r="323" spans="1:7" x14ac:dyDescent="0.35">
      <c r="A323" s="9">
        <v>46344</v>
      </c>
      <c r="B323" t="str">
        <f t="shared" ref="B323:B366" si="21">TEXT(A323,"dddd")</f>
        <v>quarta-feira</v>
      </c>
      <c r="C323" t="str">
        <f t="shared" ref="C323:C366" si="22">TEXT(A323,"mmmm")</f>
        <v>novembro</v>
      </c>
      <c r="D323">
        <f t="shared" ref="D323:D366" si="23">YEAR(A323)</f>
        <v>2026</v>
      </c>
      <c r="E323" s="8"/>
      <c r="F323" s="8"/>
      <c r="G323" t="str">
        <f t="shared" si="20"/>
        <v>SIM</v>
      </c>
    </row>
    <row r="324" spans="1:7" x14ac:dyDescent="0.35">
      <c r="A324" s="9">
        <v>46345</v>
      </c>
      <c r="B324" t="str">
        <f t="shared" si="21"/>
        <v>quinta-feira</v>
      </c>
      <c r="C324" t="str">
        <f t="shared" si="22"/>
        <v>novembro</v>
      </c>
      <c r="D324">
        <f t="shared" si="23"/>
        <v>2026</v>
      </c>
      <c r="E324" s="8"/>
      <c r="F324" s="8"/>
      <c r="G324" t="str">
        <f t="shared" si="20"/>
        <v>SIM</v>
      </c>
    </row>
    <row r="325" spans="1:7" x14ac:dyDescent="0.35">
      <c r="A325" s="9">
        <v>46346</v>
      </c>
      <c r="B325" t="str">
        <f t="shared" si="21"/>
        <v>sexta-feira</v>
      </c>
      <c r="C325" t="str">
        <f t="shared" si="22"/>
        <v>novembro</v>
      </c>
      <c r="D325">
        <f t="shared" si="23"/>
        <v>2026</v>
      </c>
      <c r="E325" s="8" t="s">
        <v>29</v>
      </c>
      <c r="F325" s="8" t="s">
        <v>47</v>
      </c>
      <c r="G325" t="str">
        <f t="shared" si="20"/>
        <v>NÃO</v>
      </c>
    </row>
    <row r="326" spans="1:7" x14ac:dyDescent="0.35">
      <c r="A326" s="9">
        <v>46347</v>
      </c>
      <c r="B326" t="str">
        <f t="shared" si="21"/>
        <v>sábado</v>
      </c>
      <c r="C326" t="str">
        <f t="shared" si="22"/>
        <v>novembro</v>
      </c>
      <c r="D326">
        <f t="shared" si="23"/>
        <v>2026</v>
      </c>
      <c r="E326" s="8"/>
      <c r="F326" s="8"/>
      <c r="G326" t="str">
        <f t="shared" si="20"/>
        <v>NÃO</v>
      </c>
    </row>
    <row r="327" spans="1:7" x14ac:dyDescent="0.35">
      <c r="A327" s="9">
        <v>46348</v>
      </c>
      <c r="B327" t="str">
        <f t="shared" si="21"/>
        <v>domingo</v>
      </c>
      <c r="C327" t="str">
        <f t="shared" si="22"/>
        <v>novembro</v>
      </c>
      <c r="D327">
        <f t="shared" si="23"/>
        <v>2026</v>
      </c>
      <c r="E327" s="8"/>
      <c r="F327" s="8"/>
      <c r="G327" t="str">
        <f t="shared" si="20"/>
        <v>NÃO</v>
      </c>
    </row>
    <row r="328" spans="1:7" x14ac:dyDescent="0.35">
      <c r="A328" s="9">
        <v>46349</v>
      </c>
      <c r="B328" t="str">
        <f t="shared" si="21"/>
        <v>segunda-feira</v>
      </c>
      <c r="C328" t="str">
        <f t="shared" si="22"/>
        <v>novembro</v>
      </c>
      <c r="D328">
        <f t="shared" si="23"/>
        <v>2026</v>
      </c>
      <c r="E328" s="8"/>
      <c r="F328" s="8"/>
      <c r="G328" t="str">
        <f t="shared" si="20"/>
        <v>SIM</v>
      </c>
    </row>
    <row r="329" spans="1:7" x14ac:dyDescent="0.35">
      <c r="A329" s="9">
        <v>46350</v>
      </c>
      <c r="B329" t="str">
        <f t="shared" si="21"/>
        <v>terça-feira</v>
      </c>
      <c r="C329" t="str">
        <f t="shared" si="22"/>
        <v>novembro</v>
      </c>
      <c r="D329">
        <f t="shared" si="23"/>
        <v>2026</v>
      </c>
      <c r="E329" s="8"/>
      <c r="F329" s="8"/>
      <c r="G329" t="str">
        <f t="shared" si="20"/>
        <v>SIM</v>
      </c>
    </row>
    <row r="330" spans="1:7" x14ac:dyDescent="0.35">
      <c r="A330" s="9">
        <v>46351</v>
      </c>
      <c r="B330" t="str">
        <f t="shared" si="21"/>
        <v>quarta-feira</v>
      </c>
      <c r="C330" t="str">
        <f t="shared" si="22"/>
        <v>novembro</v>
      </c>
      <c r="D330">
        <f t="shared" si="23"/>
        <v>2026</v>
      </c>
      <c r="E330" s="8"/>
      <c r="F330" s="8"/>
      <c r="G330" t="str">
        <f t="shared" si="20"/>
        <v>SIM</v>
      </c>
    </row>
    <row r="331" spans="1:7" x14ac:dyDescent="0.35">
      <c r="A331" s="9">
        <v>46352</v>
      </c>
      <c r="B331" t="str">
        <f t="shared" si="21"/>
        <v>quinta-feira</v>
      </c>
      <c r="C331" t="str">
        <f t="shared" si="22"/>
        <v>novembro</v>
      </c>
      <c r="D331">
        <f t="shared" si="23"/>
        <v>2026</v>
      </c>
      <c r="E331" s="8"/>
      <c r="F331" s="8"/>
      <c r="G331" t="str">
        <f t="shared" si="20"/>
        <v>SIM</v>
      </c>
    </row>
    <row r="332" spans="1:7" x14ac:dyDescent="0.35">
      <c r="A332" s="9">
        <v>46353</v>
      </c>
      <c r="B332" t="str">
        <f t="shared" si="21"/>
        <v>sexta-feira</v>
      </c>
      <c r="C332" t="str">
        <f t="shared" si="22"/>
        <v>novembro</v>
      </c>
      <c r="D332">
        <f t="shared" si="23"/>
        <v>2026</v>
      </c>
      <c r="E332" s="8"/>
      <c r="F332" s="8"/>
      <c r="G332" t="str">
        <f t="shared" si="20"/>
        <v>SIM</v>
      </c>
    </row>
    <row r="333" spans="1:7" x14ac:dyDescent="0.35">
      <c r="A333" s="9">
        <v>46354</v>
      </c>
      <c r="B333" t="str">
        <f t="shared" si="21"/>
        <v>sábado</v>
      </c>
      <c r="C333" t="str">
        <f t="shared" si="22"/>
        <v>novembro</v>
      </c>
      <c r="D333">
        <f t="shared" si="23"/>
        <v>2026</v>
      </c>
      <c r="E333" s="8"/>
      <c r="F333" s="8"/>
      <c r="G333" t="str">
        <f t="shared" si="20"/>
        <v>NÃO</v>
      </c>
    </row>
    <row r="334" spans="1:7" x14ac:dyDescent="0.35">
      <c r="A334" s="9">
        <v>46355</v>
      </c>
      <c r="B334" t="str">
        <f t="shared" si="21"/>
        <v>domingo</v>
      </c>
      <c r="C334" t="str">
        <f t="shared" si="22"/>
        <v>novembro</v>
      </c>
      <c r="D334">
        <f t="shared" si="23"/>
        <v>2026</v>
      </c>
      <c r="E334" s="8"/>
      <c r="F334" s="8"/>
      <c r="G334" t="str">
        <f t="shared" si="20"/>
        <v>NÃO</v>
      </c>
    </row>
    <row r="335" spans="1:7" x14ac:dyDescent="0.35">
      <c r="A335" s="9">
        <v>46356</v>
      </c>
      <c r="B335" t="str">
        <f t="shared" si="21"/>
        <v>segunda-feira</v>
      </c>
      <c r="C335" t="str">
        <f t="shared" si="22"/>
        <v>novembro</v>
      </c>
      <c r="D335">
        <f t="shared" si="23"/>
        <v>2026</v>
      </c>
      <c r="E335" s="8"/>
      <c r="F335" s="8"/>
      <c r="G335" t="str">
        <f t="shared" si="20"/>
        <v>SIM</v>
      </c>
    </row>
    <row r="336" spans="1:7" x14ac:dyDescent="0.35">
      <c r="A336" s="9">
        <v>46357</v>
      </c>
      <c r="B336" t="str">
        <f t="shared" si="21"/>
        <v>terça-feira</v>
      </c>
      <c r="C336" t="str">
        <f t="shared" si="22"/>
        <v>dezembro</v>
      </c>
      <c r="D336">
        <f t="shared" si="23"/>
        <v>2026</v>
      </c>
      <c r="E336" s="8"/>
      <c r="F336" s="8"/>
      <c r="G336" t="str">
        <f t="shared" si="20"/>
        <v>SIM</v>
      </c>
    </row>
    <row r="337" spans="1:7" x14ac:dyDescent="0.35">
      <c r="A337" s="9">
        <v>46358</v>
      </c>
      <c r="B337" t="str">
        <f t="shared" si="21"/>
        <v>quarta-feira</v>
      </c>
      <c r="C337" t="str">
        <f t="shared" si="22"/>
        <v>dezembro</v>
      </c>
      <c r="D337">
        <f t="shared" si="23"/>
        <v>2026</v>
      </c>
      <c r="E337" s="8"/>
      <c r="F337" s="8"/>
      <c r="G337" t="str">
        <f t="shared" si="20"/>
        <v>SIM</v>
      </c>
    </row>
    <row r="338" spans="1:7" x14ac:dyDescent="0.35">
      <c r="A338" s="9">
        <v>46359</v>
      </c>
      <c r="B338" t="str">
        <f t="shared" si="21"/>
        <v>quinta-feira</v>
      </c>
      <c r="C338" t="str">
        <f t="shared" si="22"/>
        <v>dezembro</v>
      </c>
      <c r="D338">
        <f t="shared" si="23"/>
        <v>2026</v>
      </c>
      <c r="E338" s="8"/>
      <c r="F338" s="8"/>
      <c r="G338" t="str">
        <f t="shared" si="20"/>
        <v>SIM</v>
      </c>
    </row>
    <row r="339" spans="1:7" x14ac:dyDescent="0.35">
      <c r="A339" s="9">
        <v>46360</v>
      </c>
      <c r="B339" t="str">
        <f t="shared" si="21"/>
        <v>sexta-feira</v>
      </c>
      <c r="C339" t="str">
        <f t="shared" si="22"/>
        <v>dezembro</v>
      </c>
      <c r="D339">
        <f t="shared" si="23"/>
        <v>2026</v>
      </c>
      <c r="E339" s="8"/>
      <c r="F339" s="8"/>
      <c r="G339" t="str">
        <f t="shared" si="20"/>
        <v>SIM</v>
      </c>
    </row>
    <row r="340" spans="1:7" x14ac:dyDescent="0.35">
      <c r="A340" s="9">
        <v>46361</v>
      </c>
      <c r="B340" t="str">
        <f t="shared" si="21"/>
        <v>sábado</v>
      </c>
      <c r="C340" t="str">
        <f t="shared" si="22"/>
        <v>dezembro</v>
      </c>
      <c r="D340">
        <f t="shared" si="23"/>
        <v>2026</v>
      </c>
      <c r="E340" s="8"/>
      <c r="F340" s="8"/>
      <c r="G340" t="str">
        <f t="shared" si="20"/>
        <v>NÃO</v>
      </c>
    </row>
    <row r="341" spans="1:7" x14ac:dyDescent="0.35">
      <c r="A341" s="9">
        <v>46362</v>
      </c>
      <c r="B341" t="str">
        <f t="shared" si="21"/>
        <v>domingo</v>
      </c>
      <c r="C341" t="str">
        <f t="shared" si="22"/>
        <v>dezembro</v>
      </c>
      <c r="D341">
        <f t="shared" si="23"/>
        <v>2026</v>
      </c>
      <c r="E341" s="8"/>
      <c r="F341" s="8"/>
      <c r="G341" t="str">
        <f t="shared" si="20"/>
        <v>NÃO</v>
      </c>
    </row>
    <row r="342" spans="1:7" x14ac:dyDescent="0.35">
      <c r="A342" s="9">
        <v>46363</v>
      </c>
      <c r="B342" t="str">
        <f t="shared" si="21"/>
        <v>segunda-feira</v>
      </c>
      <c r="C342" t="str">
        <f t="shared" si="22"/>
        <v>dezembro</v>
      </c>
      <c r="D342">
        <f t="shared" si="23"/>
        <v>2026</v>
      </c>
      <c r="E342" s="8"/>
      <c r="F342" s="8"/>
      <c r="G342" t="str">
        <f t="shared" si="20"/>
        <v>SIM</v>
      </c>
    </row>
    <row r="343" spans="1:7" x14ac:dyDescent="0.35">
      <c r="A343" s="9">
        <v>46364</v>
      </c>
      <c r="B343" t="str">
        <f t="shared" si="21"/>
        <v>terça-feira</v>
      </c>
      <c r="C343" t="str">
        <f t="shared" si="22"/>
        <v>dezembro</v>
      </c>
      <c r="D343">
        <f t="shared" si="23"/>
        <v>2026</v>
      </c>
      <c r="E343" s="8"/>
      <c r="F343" s="8"/>
      <c r="G343" t="str">
        <f t="shared" si="20"/>
        <v>SIM</v>
      </c>
    </row>
    <row r="344" spans="1:7" x14ac:dyDescent="0.35">
      <c r="A344" s="9">
        <v>46365</v>
      </c>
      <c r="B344" t="str">
        <f t="shared" si="21"/>
        <v>quarta-feira</v>
      </c>
      <c r="C344" t="str">
        <f t="shared" si="22"/>
        <v>dezembro</v>
      </c>
      <c r="D344">
        <f t="shared" si="23"/>
        <v>2026</v>
      </c>
      <c r="E344" s="8"/>
      <c r="F344" s="8"/>
      <c r="G344" t="str">
        <f t="shared" si="20"/>
        <v>SIM</v>
      </c>
    </row>
    <row r="345" spans="1:7" x14ac:dyDescent="0.35">
      <c r="A345" s="9">
        <v>46366</v>
      </c>
      <c r="B345" t="str">
        <f t="shared" si="21"/>
        <v>quinta-feira</v>
      </c>
      <c r="C345" t="str">
        <f t="shared" si="22"/>
        <v>dezembro</v>
      </c>
      <c r="D345">
        <f t="shared" si="23"/>
        <v>2026</v>
      </c>
      <c r="E345" s="8"/>
      <c r="F345" s="8"/>
      <c r="G345" t="str">
        <f t="shared" si="20"/>
        <v>SIM</v>
      </c>
    </row>
    <row r="346" spans="1:7" x14ac:dyDescent="0.35">
      <c r="A346" s="9">
        <v>46367</v>
      </c>
      <c r="B346" t="str">
        <f t="shared" si="21"/>
        <v>sexta-feira</v>
      </c>
      <c r="C346" t="str">
        <f t="shared" si="22"/>
        <v>dezembro</v>
      </c>
      <c r="D346">
        <f t="shared" si="23"/>
        <v>2026</v>
      </c>
      <c r="E346" s="8"/>
      <c r="F346" s="8"/>
      <c r="G346" t="str">
        <f t="shared" si="20"/>
        <v>SIM</v>
      </c>
    </row>
    <row r="347" spans="1:7" x14ac:dyDescent="0.35">
      <c r="A347" s="9">
        <v>46368</v>
      </c>
      <c r="B347" t="str">
        <f t="shared" si="21"/>
        <v>sábado</v>
      </c>
      <c r="C347" t="str">
        <f t="shared" si="22"/>
        <v>dezembro</v>
      </c>
      <c r="D347">
        <f t="shared" si="23"/>
        <v>2026</v>
      </c>
      <c r="E347" s="8"/>
      <c r="F347" s="8"/>
      <c r="G347" t="str">
        <f t="shared" si="20"/>
        <v>NÃO</v>
      </c>
    </row>
    <row r="348" spans="1:7" x14ac:dyDescent="0.35">
      <c r="A348" s="9">
        <v>46369</v>
      </c>
      <c r="B348" t="str">
        <f t="shared" si="21"/>
        <v>domingo</v>
      </c>
      <c r="C348" t="str">
        <f t="shared" si="22"/>
        <v>dezembro</v>
      </c>
      <c r="D348">
        <f t="shared" si="23"/>
        <v>2026</v>
      </c>
      <c r="E348" s="8"/>
      <c r="F348" s="8"/>
      <c r="G348" t="str">
        <f t="shared" si="20"/>
        <v>NÃO</v>
      </c>
    </row>
    <row r="349" spans="1:7" x14ac:dyDescent="0.35">
      <c r="A349" s="9">
        <v>46370</v>
      </c>
      <c r="B349" t="str">
        <f t="shared" si="21"/>
        <v>segunda-feira</v>
      </c>
      <c r="C349" t="str">
        <f t="shared" si="22"/>
        <v>dezembro</v>
      </c>
      <c r="D349">
        <f t="shared" si="23"/>
        <v>2026</v>
      </c>
      <c r="E349" s="8"/>
      <c r="F349" s="8"/>
      <c r="G349" t="str">
        <f t="shared" si="20"/>
        <v>SIM</v>
      </c>
    </row>
    <row r="350" spans="1:7" x14ac:dyDescent="0.35">
      <c r="A350" s="9">
        <v>46371</v>
      </c>
      <c r="B350" t="str">
        <f t="shared" si="21"/>
        <v>terça-feira</v>
      </c>
      <c r="C350" t="str">
        <f t="shared" si="22"/>
        <v>dezembro</v>
      </c>
      <c r="D350">
        <f t="shared" si="23"/>
        <v>2026</v>
      </c>
      <c r="E350" s="8"/>
      <c r="F350" s="8"/>
      <c r="G350" t="str">
        <f t="shared" si="20"/>
        <v>SIM</v>
      </c>
    </row>
    <row r="351" spans="1:7" x14ac:dyDescent="0.35">
      <c r="A351" s="9">
        <v>46372</v>
      </c>
      <c r="B351" t="str">
        <f t="shared" si="21"/>
        <v>quarta-feira</v>
      </c>
      <c r="C351" t="str">
        <f t="shared" si="22"/>
        <v>dezembro</v>
      </c>
      <c r="D351">
        <f t="shared" si="23"/>
        <v>2026</v>
      </c>
      <c r="E351" s="8"/>
      <c r="F351" s="8"/>
      <c r="G351" t="str">
        <f t="shared" si="20"/>
        <v>SIM</v>
      </c>
    </row>
    <row r="352" spans="1:7" x14ac:dyDescent="0.35">
      <c r="A352" s="9">
        <v>46373</v>
      </c>
      <c r="B352" t="str">
        <f t="shared" si="21"/>
        <v>quinta-feira</v>
      </c>
      <c r="C352" t="str">
        <f t="shared" si="22"/>
        <v>dezembro</v>
      </c>
      <c r="D352">
        <f t="shared" si="23"/>
        <v>2026</v>
      </c>
      <c r="E352" s="8"/>
      <c r="F352" s="8"/>
      <c r="G352" t="str">
        <f t="shared" si="20"/>
        <v>SIM</v>
      </c>
    </row>
    <row r="353" spans="1:7" x14ac:dyDescent="0.35">
      <c r="A353" s="9">
        <v>46374</v>
      </c>
      <c r="B353" t="str">
        <f t="shared" si="21"/>
        <v>sexta-feira</v>
      </c>
      <c r="C353" t="str">
        <f t="shared" si="22"/>
        <v>dezembro</v>
      </c>
      <c r="D353">
        <f t="shared" si="23"/>
        <v>2026</v>
      </c>
      <c r="E353" s="8" t="s">
        <v>31</v>
      </c>
      <c r="F353" s="8" t="s">
        <v>48</v>
      </c>
      <c r="G353" t="str">
        <f t="shared" si="20"/>
        <v>NÃO</v>
      </c>
    </row>
    <row r="354" spans="1:7" x14ac:dyDescent="0.35">
      <c r="A354" s="9">
        <v>46375</v>
      </c>
      <c r="B354" t="str">
        <f t="shared" si="21"/>
        <v>sábado</v>
      </c>
      <c r="C354" t="str">
        <f t="shared" si="22"/>
        <v>dezembro</v>
      </c>
      <c r="D354">
        <f t="shared" si="23"/>
        <v>2026</v>
      </c>
      <c r="E354" s="8" t="s">
        <v>31</v>
      </c>
      <c r="F354" s="8" t="s">
        <v>32</v>
      </c>
      <c r="G354" t="str">
        <f t="shared" si="20"/>
        <v>NÃO</v>
      </c>
    </row>
    <row r="355" spans="1:7" x14ac:dyDescent="0.35">
      <c r="A355" s="9">
        <v>46376</v>
      </c>
      <c r="B355" t="str">
        <f t="shared" si="21"/>
        <v>domingo</v>
      </c>
      <c r="C355" t="str">
        <f t="shared" si="22"/>
        <v>dezembro</v>
      </c>
      <c r="D355">
        <f t="shared" si="23"/>
        <v>2026</v>
      </c>
      <c r="E355" s="8" t="s">
        <v>31</v>
      </c>
      <c r="F355" s="8" t="s">
        <v>32</v>
      </c>
      <c r="G355" t="str">
        <f t="shared" si="20"/>
        <v>NÃO</v>
      </c>
    </row>
    <row r="356" spans="1:7" x14ac:dyDescent="0.35">
      <c r="A356" s="9">
        <v>46377</v>
      </c>
      <c r="B356" t="str">
        <f t="shared" si="21"/>
        <v>segunda-feira</v>
      </c>
      <c r="C356" t="str">
        <f t="shared" si="22"/>
        <v>dezembro</v>
      </c>
      <c r="D356">
        <f t="shared" si="23"/>
        <v>2026</v>
      </c>
      <c r="E356" s="8" t="s">
        <v>31</v>
      </c>
      <c r="F356" s="8" t="s">
        <v>32</v>
      </c>
      <c r="G356" t="str">
        <f t="shared" si="20"/>
        <v>NÃO</v>
      </c>
    </row>
    <row r="357" spans="1:7" x14ac:dyDescent="0.35">
      <c r="A357" s="9">
        <v>46378</v>
      </c>
      <c r="B357" t="str">
        <f t="shared" si="21"/>
        <v>terça-feira</v>
      </c>
      <c r="C357" t="str">
        <f t="shared" si="22"/>
        <v>dezembro</v>
      </c>
      <c r="D357">
        <f t="shared" si="23"/>
        <v>2026</v>
      </c>
      <c r="E357" s="8" t="s">
        <v>31</v>
      </c>
      <c r="F357" s="8" t="s">
        <v>32</v>
      </c>
      <c r="G357" t="str">
        <f t="shared" si="20"/>
        <v>NÃO</v>
      </c>
    </row>
    <row r="358" spans="1:7" x14ac:dyDescent="0.35">
      <c r="A358" s="9">
        <v>46379</v>
      </c>
      <c r="B358" t="str">
        <f t="shared" si="21"/>
        <v>quarta-feira</v>
      </c>
      <c r="C358" t="str">
        <f t="shared" si="22"/>
        <v>dezembro</v>
      </c>
      <c r="D358">
        <f t="shared" si="23"/>
        <v>2026</v>
      </c>
      <c r="E358" s="8" t="s">
        <v>31</v>
      </c>
      <c r="F358" s="8" t="s">
        <v>32</v>
      </c>
      <c r="G358" t="str">
        <f t="shared" si="20"/>
        <v>NÃO</v>
      </c>
    </row>
    <row r="359" spans="1:7" x14ac:dyDescent="0.35">
      <c r="A359" s="9">
        <v>46380</v>
      </c>
      <c r="B359" t="str">
        <f t="shared" si="21"/>
        <v>quinta-feira</v>
      </c>
      <c r="C359" t="str">
        <f t="shared" si="22"/>
        <v>dezembro</v>
      </c>
      <c r="D359">
        <f t="shared" si="23"/>
        <v>2026</v>
      </c>
      <c r="E359" s="8" t="s">
        <v>31</v>
      </c>
      <c r="F359" s="8" t="s">
        <v>32</v>
      </c>
      <c r="G359" t="str">
        <f t="shared" si="20"/>
        <v>NÃO</v>
      </c>
    </row>
    <row r="360" spans="1:7" x14ac:dyDescent="0.35">
      <c r="A360" s="9">
        <v>46381</v>
      </c>
      <c r="B360" t="str">
        <f t="shared" si="21"/>
        <v>sexta-feira</v>
      </c>
      <c r="C360" t="str">
        <f t="shared" si="22"/>
        <v>dezembro</v>
      </c>
      <c r="D360">
        <f t="shared" si="23"/>
        <v>2026</v>
      </c>
      <c r="E360" s="8" t="s">
        <v>31</v>
      </c>
      <c r="F360" s="8" t="s">
        <v>32</v>
      </c>
      <c r="G360" t="str">
        <f t="shared" si="20"/>
        <v>NÃO</v>
      </c>
    </row>
    <row r="361" spans="1:7" x14ac:dyDescent="0.35">
      <c r="A361" s="9">
        <v>46382</v>
      </c>
      <c r="B361" t="str">
        <f t="shared" si="21"/>
        <v>sábado</v>
      </c>
      <c r="C361" t="str">
        <f t="shared" si="22"/>
        <v>dezembro</v>
      </c>
      <c r="D361">
        <f t="shared" si="23"/>
        <v>2026</v>
      </c>
      <c r="E361" s="8" t="s">
        <v>31</v>
      </c>
      <c r="F361" s="8" t="s">
        <v>32</v>
      </c>
      <c r="G361" t="str">
        <f t="shared" si="20"/>
        <v>NÃO</v>
      </c>
    </row>
    <row r="362" spans="1:7" x14ac:dyDescent="0.35">
      <c r="A362" s="9">
        <v>46383</v>
      </c>
      <c r="B362" t="str">
        <f t="shared" si="21"/>
        <v>domingo</v>
      </c>
      <c r="C362" t="str">
        <f t="shared" si="22"/>
        <v>dezembro</v>
      </c>
      <c r="D362">
        <f t="shared" si="23"/>
        <v>2026</v>
      </c>
      <c r="E362" s="8" t="s">
        <v>31</v>
      </c>
      <c r="F362" s="8" t="s">
        <v>32</v>
      </c>
      <c r="G362" t="str">
        <f t="shared" si="20"/>
        <v>NÃO</v>
      </c>
    </row>
    <row r="363" spans="1:7" x14ac:dyDescent="0.35">
      <c r="A363" s="9">
        <v>46384</v>
      </c>
      <c r="B363" t="str">
        <f t="shared" si="21"/>
        <v>segunda-feira</v>
      </c>
      <c r="C363" t="str">
        <f t="shared" si="22"/>
        <v>dezembro</v>
      </c>
      <c r="D363">
        <f t="shared" si="23"/>
        <v>2026</v>
      </c>
      <c r="E363" s="8" t="s">
        <v>31</v>
      </c>
      <c r="F363" s="8" t="s">
        <v>32</v>
      </c>
      <c r="G363" t="str">
        <f t="shared" si="20"/>
        <v>NÃO</v>
      </c>
    </row>
    <row r="364" spans="1:7" x14ac:dyDescent="0.35">
      <c r="A364" s="9">
        <v>46385</v>
      </c>
      <c r="B364" t="str">
        <f t="shared" si="21"/>
        <v>terça-feira</v>
      </c>
      <c r="C364" t="str">
        <f t="shared" si="22"/>
        <v>dezembro</v>
      </c>
      <c r="D364">
        <f t="shared" si="23"/>
        <v>2026</v>
      </c>
      <c r="E364" s="8" t="s">
        <v>31</v>
      </c>
      <c r="F364" s="8" t="s">
        <v>32</v>
      </c>
      <c r="G364" t="str">
        <f t="shared" si="20"/>
        <v>NÃO</v>
      </c>
    </row>
    <row r="365" spans="1:7" x14ac:dyDescent="0.35">
      <c r="A365" s="9">
        <v>46386</v>
      </c>
      <c r="B365" t="str">
        <f t="shared" si="21"/>
        <v>quarta-feira</v>
      </c>
      <c r="C365" t="str">
        <f t="shared" si="22"/>
        <v>dezembro</v>
      </c>
      <c r="D365">
        <f t="shared" si="23"/>
        <v>2026</v>
      </c>
      <c r="E365" s="8" t="s">
        <v>31</v>
      </c>
      <c r="F365" s="8" t="s">
        <v>32</v>
      </c>
      <c r="G365" t="str">
        <f t="shared" si="20"/>
        <v>NÃO</v>
      </c>
    </row>
    <row r="366" spans="1:7" x14ac:dyDescent="0.35">
      <c r="A366" s="9">
        <v>46387</v>
      </c>
      <c r="B366" t="str">
        <f t="shared" si="21"/>
        <v>quinta-feira</v>
      </c>
      <c r="C366" t="str">
        <f t="shared" si="22"/>
        <v>dezembro</v>
      </c>
      <c r="D366">
        <f t="shared" si="23"/>
        <v>2026</v>
      </c>
      <c r="E366" s="8" t="s">
        <v>31</v>
      </c>
      <c r="F366" s="8" t="s">
        <v>32</v>
      </c>
      <c r="G366" t="str">
        <f t="shared" si="20"/>
        <v>NÃO</v>
      </c>
    </row>
  </sheetData>
  <conditionalFormatting sqref="A2:G366">
    <cfRule type="expression" dxfId="3" priority="1">
      <formula>$E2="Feriado"</formula>
    </cfRule>
    <cfRule type="expression" dxfId="2" priority="2">
      <formula>$E2="Recesso"</formula>
    </cfRule>
    <cfRule type="expression" dxfId="1" priority="3">
      <formula>OR($B2="sábado",$B2="domingo")</formula>
    </cfRule>
    <cfRule type="expression" dxfId="0" priority="4">
      <formula>$G2="SIM"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9B5C-E2CD-4029-ACE4-43CC699F7CF1}">
  <sheetPr codeName="Planilha4">
    <tabColor theme="4" tint="0.39997558519241921"/>
  </sheetPr>
  <dimension ref="A1:I14"/>
  <sheetViews>
    <sheetView tabSelected="1" topLeftCell="A4" workbookViewId="0">
      <selection activeCell="I13" sqref="I13"/>
    </sheetView>
  </sheetViews>
  <sheetFormatPr defaultColWidth="8.81640625" defaultRowHeight="14.5" x14ac:dyDescent="0.35"/>
  <cols>
    <col min="1" max="1" width="16" customWidth="1"/>
    <col min="2" max="2" width="31.54296875" style="8" bestFit="1" customWidth="1"/>
    <col min="3" max="3" width="37" bestFit="1" customWidth="1"/>
    <col min="4" max="4" width="10.453125" style="8" bestFit="1" customWidth="1"/>
    <col min="5" max="5" width="18.26953125" style="8" bestFit="1" customWidth="1"/>
    <col min="6" max="6" width="26.453125" style="8" bestFit="1" customWidth="1"/>
    <col min="7" max="7" width="27" style="8" customWidth="1"/>
    <col min="8" max="8" width="20.26953125" style="8" bestFit="1" customWidth="1"/>
    <col min="9" max="9" width="20.90625" style="8" bestFit="1" customWidth="1"/>
    <col min="10" max="16384" width="8.81640625" style="8"/>
  </cols>
  <sheetData>
    <row r="1" spans="1:9" x14ac:dyDescent="0.35">
      <c r="A1" s="17" t="s">
        <v>49</v>
      </c>
      <c r="B1" s="11" t="s">
        <v>205</v>
      </c>
      <c r="C1" s="19" t="s">
        <v>50</v>
      </c>
      <c r="D1" s="11" t="s">
        <v>51</v>
      </c>
      <c r="E1" s="11" t="s">
        <v>52</v>
      </c>
      <c r="F1" s="11" t="s">
        <v>53</v>
      </c>
      <c r="G1" s="12" t="s">
        <v>54</v>
      </c>
      <c r="H1" s="13" t="s">
        <v>55</v>
      </c>
      <c r="I1" s="13" t="s">
        <v>56</v>
      </c>
    </row>
    <row r="2" spans="1:9" x14ac:dyDescent="0.35">
      <c r="A2" s="18">
        <f>IF(B2&lt;&gt;"",ROW()-1,"")</f>
        <v>1</v>
      </c>
      <c r="B2" s="10" t="s">
        <v>57</v>
      </c>
      <c r="C2" s="18" t="str">
        <f t="shared" ref="C2:C14" si="0">UPPER(B2)</f>
        <v>CLEBER DE FREITAS MAIA</v>
      </c>
      <c r="D2" s="10" t="s">
        <v>58</v>
      </c>
      <c r="E2" s="10" t="s">
        <v>59</v>
      </c>
      <c r="F2" s="10" t="s">
        <v>60</v>
      </c>
      <c r="G2" s="10">
        <v>40</v>
      </c>
      <c r="H2" s="14" t="s">
        <v>61</v>
      </c>
      <c r="I2" s="14"/>
    </row>
    <row r="3" spans="1:9" x14ac:dyDescent="0.35">
      <c r="A3" s="18">
        <f t="shared" ref="A3:A14" si="1">IF(B3&lt;&gt;"",ROW()-1,"")</f>
        <v>2</v>
      </c>
      <c r="B3" s="10" t="s">
        <v>62</v>
      </c>
      <c r="C3" s="18" t="str">
        <f t="shared" si="0"/>
        <v>DEILSON DOS SANTOS DE AQUINO</v>
      </c>
      <c r="D3" s="10" t="s">
        <v>58</v>
      </c>
      <c r="E3" s="10" t="s">
        <v>63</v>
      </c>
      <c r="F3" s="10" t="s">
        <v>64</v>
      </c>
      <c r="G3" s="10">
        <v>40</v>
      </c>
      <c r="H3" s="10" t="s">
        <v>61</v>
      </c>
      <c r="I3" s="10"/>
    </row>
    <row r="4" spans="1:9" x14ac:dyDescent="0.35">
      <c r="A4" s="18">
        <f t="shared" si="1"/>
        <v>3</v>
      </c>
      <c r="B4" s="10" t="s">
        <v>65</v>
      </c>
      <c r="C4" s="18" t="str">
        <f t="shared" si="0"/>
        <v>FABRÍCIO CURVELLO GOMES</v>
      </c>
      <c r="D4" s="10" t="s">
        <v>58</v>
      </c>
      <c r="E4" s="10" t="s">
        <v>66</v>
      </c>
      <c r="F4" s="10" t="s">
        <v>67</v>
      </c>
      <c r="G4" s="10">
        <v>40</v>
      </c>
      <c r="H4" s="10" t="s">
        <v>61</v>
      </c>
      <c r="I4" s="10"/>
    </row>
    <row r="5" spans="1:9" x14ac:dyDescent="0.35">
      <c r="A5" s="18">
        <f t="shared" si="1"/>
        <v>4</v>
      </c>
      <c r="B5" s="10" t="s">
        <v>68</v>
      </c>
      <c r="C5" s="18" t="str">
        <f t="shared" si="0"/>
        <v>GEORGE COELHO KLEINAU VASCONCELOS</v>
      </c>
      <c r="D5" s="10" t="s">
        <v>58</v>
      </c>
      <c r="E5" s="10" t="s">
        <v>69</v>
      </c>
      <c r="F5" s="10" t="s">
        <v>70</v>
      </c>
      <c r="G5" s="10">
        <v>40</v>
      </c>
      <c r="H5" s="10" t="s">
        <v>61</v>
      </c>
      <c r="I5" s="10" t="s">
        <v>198</v>
      </c>
    </row>
    <row r="6" spans="1:9" x14ac:dyDescent="0.35">
      <c r="A6" s="18">
        <f t="shared" si="1"/>
        <v>5</v>
      </c>
      <c r="B6" s="10" t="s">
        <v>71</v>
      </c>
      <c r="C6" s="18" t="str">
        <f t="shared" si="0"/>
        <v>GUILHERME DA SILVA RODRIGUES</v>
      </c>
      <c r="D6" s="10" t="s">
        <v>58</v>
      </c>
      <c r="E6" s="10" t="s">
        <v>72</v>
      </c>
      <c r="F6" s="10" t="s">
        <v>73</v>
      </c>
      <c r="G6" s="10">
        <v>40</v>
      </c>
      <c r="H6" s="10" t="s">
        <v>61</v>
      </c>
      <c r="I6" s="10"/>
    </row>
    <row r="7" spans="1:9" x14ac:dyDescent="0.35">
      <c r="A7" s="18">
        <f t="shared" si="1"/>
        <v>6</v>
      </c>
      <c r="B7" s="10" t="s">
        <v>74</v>
      </c>
      <c r="C7" s="18" t="str">
        <f t="shared" si="0"/>
        <v>JEFFERSON LEONARDO AYRES BRANDÃO</v>
      </c>
      <c r="D7" s="10" t="s">
        <v>58</v>
      </c>
      <c r="E7" s="10" t="s">
        <v>75</v>
      </c>
      <c r="F7" s="10" t="s">
        <v>76</v>
      </c>
      <c r="G7" s="10">
        <v>40</v>
      </c>
      <c r="H7" s="14" t="s">
        <v>61</v>
      </c>
      <c r="I7" s="10"/>
    </row>
    <row r="8" spans="1:9" x14ac:dyDescent="0.35">
      <c r="A8" s="18">
        <f t="shared" si="1"/>
        <v>7</v>
      </c>
      <c r="B8" s="10" t="s">
        <v>77</v>
      </c>
      <c r="C8" s="18" t="str">
        <f t="shared" si="0"/>
        <v>MATHEUS DE CARVALHO HEREMENEGILDO</v>
      </c>
      <c r="D8" s="10" t="s">
        <v>58</v>
      </c>
      <c r="E8" s="10" t="s">
        <v>78</v>
      </c>
      <c r="F8" s="10" t="s">
        <v>79</v>
      </c>
      <c r="G8" s="10">
        <v>40</v>
      </c>
      <c r="H8" s="10" t="s">
        <v>61</v>
      </c>
      <c r="I8" s="10"/>
    </row>
    <row r="9" spans="1:9" x14ac:dyDescent="0.35">
      <c r="A9" s="18">
        <f t="shared" si="1"/>
        <v>8</v>
      </c>
      <c r="B9" s="10" t="s">
        <v>80</v>
      </c>
      <c r="C9" s="18" t="str">
        <f t="shared" si="0"/>
        <v>NATÁLIA DOS SANTOS GRILLO</v>
      </c>
      <c r="D9" s="10" t="s">
        <v>58</v>
      </c>
      <c r="E9" s="10" t="s">
        <v>81</v>
      </c>
      <c r="F9" s="10" t="s">
        <v>82</v>
      </c>
      <c r="G9" s="10">
        <v>40</v>
      </c>
      <c r="H9" s="10" t="s">
        <v>61</v>
      </c>
      <c r="I9" s="10"/>
    </row>
    <row r="10" spans="1:9" x14ac:dyDescent="0.35">
      <c r="A10" s="18">
        <f t="shared" si="1"/>
        <v>9</v>
      </c>
      <c r="B10" s="10" t="s">
        <v>83</v>
      </c>
      <c r="C10" s="18" t="str">
        <f t="shared" si="0"/>
        <v>RAPHAEL BARRETO DE OLIVEIRA</v>
      </c>
      <c r="D10" s="10" t="s">
        <v>58</v>
      </c>
      <c r="E10" s="10" t="s">
        <v>84</v>
      </c>
      <c r="F10" s="10" t="s">
        <v>85</v>
      </c>
      <c r="G10" s="10">
        <v>40</v>
      </c>
      <c r="H10" s="10" t="s">
        <v>61</v>
      </c>
      <c r="I10" s="10"/>
    </row>
    <row r="11" spans="1:9" x14ac:dyDescent="0.35">
      <c r="A11" s="18">
        <f t="shared" si="1"/>
        <v>10</v>
      </c>
      <c r="B11" s="10" t="s">
        <v>86</v>
      </c>
      <c r="C11" s="18" t="str">
        <f t="shared" si="0"/>
        <v>RODRIGO DACOME LIMA</v>
      </c>
      <c r="D11" s="10" t="s">
        <v>58</v>
      </c>
      <c r="E11" s="10" t="s">
        <v>87</v>
      </c>
      <c r="F11" s="10" t="s">
        <v>88</v>
      </c>
      <c r="G11" s="10">
        <v>40</v>
      </c>
      <c r="H11" s="10" t="s">
        <v>61</v>
      </c>
      <c r="I11" s="10" t="s">
        <v>199</v>
      </c>
    </row>
    <row r="12" spans="1:9" x14ac:dyDescent="0.35">
      <c r="A12" s="18">
        <f t="shared" si="1"/>
        <v>11</v>
      </c>
      <c r="B12" s="10" t="s">
        <v>89</v>
      </c>
      <c r="C12" s="18" t="str">
        <f t="shared" si="0"/>
        <v xml:space="preserve">SERGIO DAMASCENO REIS </v>
      </c>
      <c r="D12" s="10" t="s">
        <v>58</v>
      </c>
      <c r="E12" s="10" t="s">
        <v>90</v>
      </c>
      <c r="F12" s="10" t="s">
        <v>91</v>
      </c>
      <c r="G12" s="10">
        <v>40</v>
      </c>
      <c r="H12" s="14" t="s">
        <v>61</v>
      </c>
      <c r="I12" s="10"/>
    </row>
    <row r="13" spans="1:9" ht="15" thickBot="1" x14ac:dyDescent="0.4">
      <c r="A13" s="18">
        <f t="shared" si="1"/>
        <v>12</v>
      </c>
      <c r="B13" s="15" t="s">
        <v>92</v>
      </c>
      <c r="C13" s="20" t="str">
        <f t="shared" si="0"/>
        <v>VAGNER DA COSTA LIMA</v>
      </c>
      <c r="D13" s="15" t="s">
        <v>58</v>
      </c>
      <c r="E13" s="15" t="s">
        <v>93</v>
      </c>
      <c r="F13" s="15" t="s">
        <v>94</v>
      </c>
      <c r="G13" s="10">
        <v>40</v>
      </c>
      <c r="H13" s="10" t="s">
        <v>61</v>
      </c>
      <c r="I13" s="45"/>
    </row>
    <row r="14" spans="1:9" x14ac:dyDescent="0.35">
      <c r="A14" s="18">
        <f t="shared" si="1"/>
        <v>13</v>
      </c>
      <c r="B14" s="16" t="s">
        <v>95</v>
      </c>
      <c r="C14" s="21" t="str">
        <f t="shared" si="0"/>
        <v>WESLEY DA SILVA SOUZA</v>
      </c>
      <c r="D14" s="16" t="s">
        <v>58</v>
      </c>
      <c r="E14" s="8" t="s">
        <v>96</v>
      </c>
      <c r="F14" s="8" t="s">
        <v>97</v>
      </c>
      <c r="G14" s="10">
        <v>40</v>
      </c>
      <c r="H14" s="10" t="s">
        <v>61</v>
      </c>
      <c r="I14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3243-C059-4461-9F38-A71793E4BC57}">
  <sheetPr codeName="Planilha5">
    <tabColor theme="4" tint="0.39997558519241921"/>
  </sheetPr>
  <dimension ref="A1:E17"/>
  <sheetViews>
    <sheetView workbookViewId="0">
      <selection activeCell="A2" sqref="A2:E17"/>
    </sheetView>
  </sheetViews>
  <sheetFormatPr defaultColWidth="8.81640625" defaultRowHeight="14.5" x14ac:dyDescent="0.35"/>
  <cols>
    <col min="2" max="2" width="28.1796875" style="8" bestFit="1" customWidth="1"/>
    <col min="3" max="3" width="29.54296875" style="8" bestFit="1" customWidth="1"/>
    <col min="4" max="4" width="16.453125" style="8" bestFit="1" customWidth="1"/>
    <col min="5" max="5" width="12.7265625" style="8" bestFit="1" customWidth="1"/>
    <col min="6" max="16384" width="8.81640625" style="8"/>
  </cols>
  <sheetData>
    <row r="1" spans="1:5" x14ac:dyDescent="0.35">
      <c r="A1" s="23" t="s">
        <v>49</v>
      </c>
      <c r="B1" s="22" t="s">
        <v>98</v>
      </c>
      <c r="C1" s="22" t="s">
        <v>16</v>
      </c>
      <c r="D1" s="22" t="s">
        <v>99</v>
      </c>
      <c r="E1" s="22" t="s">
        <v>100</v>
      </c>
    </row>
    <row r="2" spans="1:5" x14ac:dyDescent="0.35">
      <c r="A2">
        <f>IF(B2&lt;&gt;"",ROW()-1,"")</f>
        <v>1</v>
      </c>
      <c r="B2" s="8" t="s">
        <v>101</v>
      </c>
      <c r="C2" s="8" t="s">
        <v>102</v>
      </c>
      <c r="D2" s="8">
        <v>24</v>
      </c>
    </row>
    <row r="3" spans="1:5" x14ac:dyDescent="0.35">
      <c r="A3">
        <f t="shared" ref="A3:A17" si="0">IF(B3&lt;&gt;"",ROW()-1,"")</f>
        <v>2</v>
      </c>
      <c r="B3" s="8" t="s">
        <v>103</v>
      </c>
      <c r="C3" s="8" t="s">
        <v>102</v>
      </c>
      <c r="D3" s="8">
        <v>24</v>
      </c>
    </row>
    <row r="4" spans="1:5" x14ac:dyDescent="0.35">
      <c r="A4">
        <f t="shared" si="0"/>
        <v>3</v>
      </c>
      <c r="B4" s="8" t="s">
        <v>104</v>
      </c>
      <c r="C4" s="8" t="s">
        <v>102</v>
      </c>
      <c r="D4" s="8">
        <v>24</v>
      </c>
      <c r="E4" s="8" t="s">
        <v>105</v>
      </c>
    </row>
    <row r="5" spans="1:5" x14ac:dyDescent="0.35">
      <c r="A5">
        <f t="shared" si="0"/>
        <v>4</v>
      </c>
      <c r="B5" s="8" t="s">
        <v>106</v>
      </c>
      <c r="C5" s="8" t="s">
        <v>102</v>
      </c>
      <c r="D5" s="8">
        <v>24</v>
      </c>
      <c r="E5" s="8" t="s">
        <v>105</v>
      </c>
    </row>
    <row r="6" spans="1:5" x14ac:dyDescent="0.35">
      <c r="A6">
        <f t="shared" si="0"/>
        <v>5</v>
      </c>
      <c r="B6" s="8" t="s">
        <v>107</v>
      </c>
      <c r="C6" s="8" t="s">
        <v>102</v>
      </c>
      <c r="D6" s="8">
        <v>24</v>
      </c>
      <c r="E6" s="8" t="s">
        <v>105</v>
      </c>
    </row>
    <row r="7" spans="1:5" x14ac:dyDescent="0.35">
      <c r="A7">
        <f t="shared" si="0"/>
        <v>6</v>
      </c>
      <c r="B7" s="8" t="s">
        <v>108</v>
      </c>
      <c r="C7" s="8" t="s">
        <v>102</v>
      </c>
      <c r="D7" s="8">
        <v>24</v>
      </c>
      <c r="E7" s="8" t="s">
        <v>105</v>
      </c>
    </row>
    <row r="8" spans="1:5" x14ac:dyDescent="0.35">
      <c r="A8">
        <f t="shared" si="0"/>
        <v>7</v>
      </c>
      <c r="B8" s="8" t="s">
        <v>109</v>
      </c>
      <c r="C8" s="8" t="s">
        <v>102</v>
      </c>
      <c r="D8" s="8">
        <v>24</v>
      </c>
      <c r="E8" s="8" t="s">
        <v>105</v>
      </c>
    </row>
    <row r="9" spans="1:5" x14ac:dyDescent="0.35">
      <c r="A9">
        <f t="shared" si="0"/>
        <v>8</v>
      </c>
      <c r="B9" s="8" t="s">
        <v>110</v>
      </c>
      <c r="C9" s="8" t="s">
        <v>102</v>
      </c>
      <c r="D9" s="8">
        <v>24</v>
      </c>
      <c r="E9" s="8" t="s">
        <v>105</v>
      </c>
    </row>
    <row r="10" spans="1:5" x14ac:dyDescent="0.35">
      <c r="A10">
        <f t="shared" si="0"/>
        <v>9</v>
      </c>
      <c r="B10" s="8" t="s">
        <v>111</v>
      </c>
      <c r="C10" s="8" t="s">
        <v>112</v>
      </c>
      <c r="D10" s="8">
        <v>22</v>
      </c>
      <c r="E10" s="8" t="s">
        <v>105</v>
      </c>
    </row>
    <row r="11" spans="1:5" x14ac:dyDescent="0.35">
      <c r="A11">
        <f t="shared" si="0"/>
        <v>10</v>
      </c>
      <c r="B11" s="8" t="s">
        <v>113</v>
      </c>
      <c r="C11" s="8" t="s">
        <v>112</v>
      </c>
      <c r="E11" s="8" t="s">
        <v>105</v>
      </c>
    </row>
    <row r="12" spans="1:5" x14ac:dyDescent="0.35">
      <c r="A12">
        <f t="shared" si="0"/>
        <v>11</v>
      </c>
      <c r="B12" s="8" t="s">
        <v>114</v>
      </c>
      <c r="C12" s="8" t="s">
        <v>114</v>
      </c>
      <c r="E12" s="8" t="s">
        <v>105</v>
      </c>
    </row>
    <row r="13" spans="1:5" x14ac:dyDescent="0.35">
      <c r="A13">
        <f t="shared" si="0"/>
        <v>12</v>
      </c>
      <c r="B13" s="8" t="s">
        <v>115</v>
      </c>
      <c r="C13" s="8" t="s">
        <v>114</v>
      </c>
      <c r="E13" s="8" t="s">
        <v>105</v>
      </c>
    </row>
    <row r="14" spans="1:5" x14ac:dyDescent="0.35">
      <c r="A14">
        <f t="shared" si="0"/>
        <v>13</v>
      </c>
      <c r="B14" s="8" t="s">
        <v>116</v>
      </c>
      <c r="C14" s="8" t="s">
        <v>117</v>
      </c>
      <c r="E14" s="8" t="s">
        <v>105</v>
      </c>
    </row>
    <row r="15" spans="1:5" x14ac:dyDescent="0.35">
      <c r="A15">
        <f t="shared" si="0"/>
        <v>14</v>
      </c>
      <c r="B15" s="8" t="s">
        <v>118</v>
      </c>
      <c r="C15" s="8" t="s">
        <v>119</v>
      </c>
      <c r="E15" s="8" t="s">
        <v>105</v>
      </c>
    </row>
    <row r="16" spans="1:5" x14ac:dyDescent="0.35">
      <c r="A16">
        <f t="shared" si="0"/>
        <v>15</v>
      </c>
      <c r="B16" s="8" t="s">
        <v>120</v>
      </c>
      <c r="C16" s="8" t="s">
        <v>120</v>
      </c>
      <c r="E16" s="8" t="s">
        <v>105</v>
      </c>
    </row>
    <row r="17" spans="1:5" x14ac:dyDescent="0.35">
      <c r="A17">
        <f t="shared" si="0"/>
        <v>16</v>
      </c>
      <c r="B17" s="8" t="s">
        <v>21</v>
      </c>
      <c r="C17" s="8" t="s">
        <v>100</v>
      </c>
      <c r="D17" s="8">
        <v>999</v>
      </c>
      <c r="E17" s="8" t="s">
        <v>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BB20-83E8-4F1B-984D-07B73F5DF26C}">
  <sheetPr codeName="Planilha7">
    <tabColor theme="9" tint="0.39997558519241921"/>
  </sheetPr>
  <dimension ref="A1:H32"/>
  <sheetViews>
    <sheetView workbookViewId="0">
      <selection activeCell="E32" sqref="E32"/>
    </sheetView>
  </sheetViews>
  <sheetFormatPr defaultRowHeight="14.5" x14ac:dyDescent="0.35"/>
  <cols>
    <col min="1" max="2" width="15.26953125" customWidth="1"/>
    <col min="3" max="3" width="17.08984375" bestFit="1" customWidth="1"/>
    <col min="4" max="4" width="51.26953125" bestFit="1" customWidth="1"/>
    <col min="5" max="5" width="70.1796875" bestFit="1" customWidth="1"/>
    <col min="6" max="6" width="17.7265625" customWidth="1"/>
    <col min="7" max="7" width="17.54296875" customWidth="1"/>
    <col min="8" max="8" width="15.36328125" bestFit="1" customWidth="1"/>
  </cols>
  <sheetData>
    <row r="1" spans="1:8" ht="26" x14ac:dyDescent="0.6">
      <c r="A1" s="44" t="s">
        <v>240</v>
      </c>
      <c r="B1" s="44"/>
      <c r="C1" s="44"/>
      <c r="D1" s="44"/>
      <c r="E1" s="44"/>
      <c r="F1" s="44"/>
      <c r="G1" s="44"/>
      <c r="H1" s="39"/>
    </row>
    <row r="2" spans="1:8" x14ac:dyDescent="0.35">
      <c r="A2" s="3" t="s">
        <v>134</v>
      </c>
      <c r="B2" t="s">
        <v>121</v>
      </c>
      <c r="C2" t="s">
        <v>206</v>
      </c>
      <c r="D2" t="s">
        <v>123</v>
      </c>
      <c r="E2" t="s">
        <v>135</v>
      </c>
      <c r="F2" t="s">
        <v>136</v>
      </c>
      <c r="G2" t="s">
        <v>51</v>
      </c>
    </row>
    <row r="3" spans="1:8" x14ac:dyDescent="0.35">
      <c r="A3">
        <f t="shared" ref="A3:A11" si="0">IF(E3&lt;&gt;"",ROW()-2,"")</f>
        <v>1</v>
      </c>
      <c r="B3">
        <f>_xlfn.XLOOKUP(tblDisciplinas[[#This Row],[TURMA]],tblTurmas[CODIGO_TURMA],tblTurmas[ID_TURMA],"")</f>
        <v>2</v>
      </c>
      <c r="C3" t="s">
        <v>193</v>
      </c>
      <c r="D3" t="str">
        <f>_xlfn.XLOOKUP(tblDisciplinas[[#This Row],[TURMA]], tblTurmas[CODIGO_TURMA], tblTurmas[NOME_TURMA],"")</f>
        <v>Programador Full Stack</v>
      </c>
      <c r="E3" t="s">
        <v>196</v>
      </c>
      <c r="F3">
        <v>60</v>
      </c>
      <c r="G3" t="s">
        <v>241</v>
      </c>
    </row>
    <row r="4" spans="1:8" x14ac:dyDescent="0.35">
      <c r="A4">
        <f t="shared" si="0"/>
        <v>2</v>
      </c>
      <c r="B4">
        <f>_xlfn.XLOOKUP(tblDisciplinas[[#This Row],[TURMA]],tblTurmas[CODIGO_TURMA],tblTurmas[ID_TURMA],"")</f>
        <v>2</v>
      </c>
      <c r="C4" t="s">
        <v>193</v>
      </c>
      <c r="D4" t="str">
        <f>_xlfn.XLOOKUP(tblDisciplinas[[#This Row],[TURMA]], tblTurmas[CODIGO_TURMA], tblTurmas[NOME_TURMA],"")</f>
        <v>Programador Full Stack</v>
      </c>
      <c r="E4" t="s">
        <v>207</v>
      </c>
      <c r="F4">
        <v>60</v>
      </c>
      <c r="G4" t="s">
        <v>216</v>
      </c>
    </row>
    <row r="5" spans="1:8" x14ac:dyDescent="0.35">
      <c r="A5">
        <f t="shared" si="0"/>
        <v>3</v>
      </c>
      <c r="B5">
        <f>_xlfn.XLOOKUP(tblDisciplinas[[#This Row],[TURMA]],tblTurmas[CODIGO_TURMA],tblTurmas[ID_TURMA],"")</f>
        <v>2</v>
      </c>
      <c r="C5" t="s">
        <v>193</v>
      </c>
      <c r="D5" t="str">
        <f>_xlfn.XLOOKUP(tblDisciplinas[[#This Row],[TURMA]], tblTurmas[CODIGO_TURMA], tblTurmas[NOME_TURMA],"")</f>
        <v>Programador Full Stack</v>
      </c>
      <c r="E5" t="s">
        <v>208</v>
      </c>
      <c r="F5">
        <v>60</v>
      </c>
      <c r="G5" t="s">
        <v>217</v>
      </c>
    </row>
    <row r="6" spans="1:8" x14ac:dyDescent="0.35">
      <c r="A6">
        <f t="shared" si="0"/>
        <v>4</v>
      </c>
      <c r="B6">
        <f>_xlfn.XLOOKUP(tblDisciplinas[[#This Row],[TURMA]],tblTurmas[CODIGO_TURMA],tblTurmas[ID_TURMA],"")</f>
        <v>2</v>
      </c>
      <c r="C6" t="s">
        <v>193</v>
      </c>
      <c r="D6" t="str">
        <f>_xlfn.XLOOKUP(tblDisciplinas[[#This Row],[TURMA]], tblTurmas[CODIGO_TURMA], tblTurmas[NOME_TURMA],"")</f>
        <v>Programador Full Stack</v>
      </c>
      <c r="E6" t="s">
        <v>209</v>
      </c>
      <c r="F6">
        <v>60</v>
      </c>
      <c r="G6" t="s">
        <v>217</v>
      </c>
    </row>
    <row r="7" spans="1:8" x14ac:dyDescent="0.35">
      <c r="A7">
        <f t="shared" si="0"/>
        <v>5</v>
      </c>
      <c r="B7">
        <f>_xlfn.XLOOKUP(tblDisciplinas[[#This Row],[TURMA]],tblTurmas[CODIGO_TURMA],tblTurmas[ID_TURMA],"")</f>
        <v>2</v>
      </c>
      <c r="C7" t="s">
        <v>193</v>
      </c>
      <c r="D7" t="str">
        <f>_xlfn.XLOOKUP(tblDisciplinas[[#This Row],[TURMA]], tblTurmas[CODIGO_TURMA], tblTurmas[NOME_TURMA],"")</f>
        <v>Programador Full Stack</v>
      </c>
      <c r="E7" t="s">
        <v>210</v>
      </c>
      <c r="F7">
        <v>60</v>
      </c>
      <c r="G7" t="s">
        <v>217</v>
      </c>
    </row>
    <row r="8" spans="1:8" x14ac:dyDescent="0.35">
      <c r="A8">
        <f t="shared" si="0"/>
        <v>6</v>
      </c>
      <c r="B8">
        <f>_xlfn.XLOOKUP(tblDisciplinas[[#This Row],[TURMA]],tblTurmas[CODIGO_TURMA],tblTurmas[ID_TURMA],"")</f>
        <v>2</v>
      </c>
      <c r="C8" t="s">
        <v>193</v>
      </c>
      <c r="D8" t="str">
        <f>_xlfn.XLOOKUP(tblDisciplinas[[#This Row],[TURMA]], tblTurmas[CODIGO_TURMA], tblTurmas[NOME_TURMA],"")</f>
        <v>Programador Full Stack</v>
      </c>
      <c r="E8" t="s">
        <v>211</v>
      </c>
      <c r="F8">
        <v>60</v>
      </c>
      <c r="G8" t="s">
        <v>217</v>
      </c>
    </row>
    <row r="9" spans="1:8" x14ac:dyDescent="0.35">
      <c r="A9">
        <f t="shared" si="0"/>
        <v>7</v>
      </c>
      <c r="B9">
        <f>_xlfn.XLOOKUP(tblDisciplinas[[#This Row],[TURMA]],tblTurmas[CODIGO_TURMA],tblTurmas[ID_TURMA],"")</f>
        <v>2</v>
      </c>
      <c r="C9" t="s">
        <v>193</v>
      </c>
      <c r="D9" t="str">
        <f>_xlfn.XLOOKUP(tblDisciplinas[[#This Row],[TURMA]], tblTurmas[CODIGO_TURMA], tblTurmas[NOME_TURMA],"")</f>
        <v>Programador Full Stack</v>
      </c>
      <c r="E9" t="s">
        <v>212</v>
      </c>
      <c r="F9">
        <v>60</v>
      </c>
      <c r="G9" t="s">
        <v>217</v>
      </c>
    </row>
    <row r="10" spans="1:8" x14ac:dyDescent="0.35">
      <c r="A10">
        <f t="shared" si="0"/>
        <v>8</v>
      </c>
      <c r="B10">
        <f>_xlfn.XLOOKUP(tblDisciplinas[[#This Row],[TURMA]],tblTurmas[CODIGO_TURMA],tblTurmas[ID_TURMA],"")</f>
        <v>2</v>
      </c>
      <c r="C10" t="s">
        <v>193</v>
      </c>
      <c r="D10" t="str">
        <f>_xlfn.XLOOKUP(tblDisciplinas[[#This Row],[TURMA]], tblTurmas[CODIGO_TURMA], tblTurmas[NOME_TURMA],"")</f>
        <v>Programador Full Stack</v>
      </c>
      <c r="E10" t="s">
        <v>213</v>
      </c>
      <c r="F10">
        <v>60</v>
      </c>
      <c r="G10" t="s">
        <v>217</v>
      </c>
    </row>
    <row r="11" spans="1:8" x14ac:dyDescent="0.35">
      <c r="A11">
        <f t="shared" si="0"/>
        <v>9</v>
      </c>
      <c r="B11">
        <f>_xlfn.XLOOKUP(tblDisciplinas[[#This Row],[TURMA]],tblTurmas[CODIGO_TURMA],tblTurmas[ID_TURMA],"")</f>
        <v>2</v>
      </c>
      <c r="C11" t="s">
        <v>193</v>
      </c>
      <c r="D11" t="str">
        <f>_xlfn.XLOOKUP(tblDisciplinas[[#This Row],[TURMA]], tblTurmas[CODIGO_TURMA], tblTurmas[NOME_TURMA],"")</f>
        <v>Programador Full Stack</v>
      </c>
      <c r="E11" t="s">
        <v>214</v>
      </c>
      <c r="F11">
        <v>60</v>
      </c>
      <c r="G11" t="s">
        <v>217</v>
      </c>
    </row>
    <row r="12" spans="1:8" x14ac:dyDescent="0.35">
      <c r="A12">
        <f>IF(E2&lt;&gt;"",ROW()-2,"")</f>
        <v>10</v>
      </c>
      <c r="B12">
        <f>_xlfn.XLOOKUP(tblDisciplinas[[#This Row],[TURMA]],tblTurmas[CODIGO_TURMA],tblTurmas[ID_TURMA],"")</f>
        <v>3</v>
      </c>
      <c r="C12" t="s">
        <v>202</v>
      </c>
      <c r="D12" t="str">
        <f>_xlfn.XLOOKUP(tblDisciplinas[[#This Row],[TURMA]], tblTurmas[CODIGO_TURMA], tblTurmas[NOME_TURMA],"")</f>
        <v>Desenvolvedor de Soluções Integradas com TI - M - TechNip</v>
      </c>
      <c r="E12" t="s">
        <v>218</v>
      </c>
      <c r="F12">
        <v>60</v>
      </c>
      <c r="G12" s="40" t="s">
        <v>241</v>
      </c>
    </row>
    <row r="13" spans="1:8" x14ac:dyDescent="0.35">
      <c r="A13">
        <f t="shared" ref="A13:A28" si="1">IF(E3&lt;&gt;"",ROW()-2,"")</f>
        <v>11</v>
      </c>
      <c r="B13">
        <f>_xlfn.XLOOKUP(tblDisciplinas[[#This Row],[TURMA]],tblTurmas[CODIGO_TURMA],tblTurmas[ID_TURMA],"")</f>
        <v>3</v>
      </c>
      <c r="C13" t="s">
        <v>202</v>
      </c>
      <c r="D13" t="str">
        <f>_xlfn.XLOOKUP(tblDisciplinas[[#This Row],[TURMA]], tblTurmas[CODIGO_TURMA], tblTurmas[NOME_TURMA],"")</f>
        <v>Desenvolvedor de Soluções Integradas com TI - M - TechNip</v>
      </c>
      <c r="E13" t="s">
        <v>219</v>
      </c>
      <c r="F13">
        <v>60</v>
      </c>
      <c r="G13" t="s">
        <v>241</v>
      </c>
    </row>
    <row r="14" spans="1:8" x14ac:dyDescent="0.35">
      <c r="A14">
        <f t="shared" si="1"/>
        <v>12</v>
      </c>
      <c r="B14">
        <f>_xlfn.XLOOKUP(tblDisciplinas[[#This Row],[TURMA]],tblTurmas[CODIGO_TURMA],tblTurmas[ID_TURMA],"")</f>
        <v>3</v>
      </c>
      <c r="C14" t="s">
        <v>202</v>
      </c>
      <c r="D14" t="str">
        <f>_xlfn.XLOOKUP(tblDisciplinas[[#This Row],[TURMA]], tblTurmas[CODIGO_TURMA], tblTurmas[NOME_TURMA],"")</f>
        <v>Desenvolvedor de Soluções Integradas com TI - M - TechNip</v>
      </c>
      <c r="E14" t="s">
        <v>220</v>
      </c>
      <c r="F14">
        <v>60</v>
      </c>
      <c r="G14" t="s">
        <v>216</v>
      </c>
    </row>
    <row r="15" spans="1:8" x14ac:dyDescent="0.35">
      <c r="A15">
        <f t="shared" si="1"/>
        <v>13</v>
      </c>
      <c r="B15">
        <f>_xlfn.XLOOKUP(tblDisciplinas[[#This Row],[TURMA]],tblTurmas[CODIGO_TURMA],tblTurmas[ID_TURMA],"")</f>
        <v>3</v>
      </c>
      <c r="C15" t="s">
        <v>202</v>
      </c>
      <c r="D15" t="str">
        <f>_xlfn.XLOOKUP(tblDisciplinas[[#This Row],[TURMA]], tblTurmas[CODIGO_TURMA], tblTurmas[NOME_TURMA],"")</f>
        <v>Desenvolvedor de Soluções Integradas com TI - M - TechNip</v>
      </c>
      <c r="E15" t="s">
        <v>221</v>
      </c>
      <c r="F15">
        <v>60</v>
      </c>
      <c r="G15" t="s">
        <v>217</v>
      </c>
    </row>
    <row r="16" spans="1:8" x14ac:dyDescent="0.35">
      <c r="A16">
        <f t="shared" si="1"/>
        <v>14</v>
      </c>
      <c r="B16">
        <f>_xlfn.XLOOKUP(tblDisciplinas[[#This Row],[TURMA]],tblTurmas[CODIGO_TURMA],tblTurmas[ID_TURMA],"")</f>
        <v>3</v>
      </c>
      <c r="C16" t="s">
        <v>202</v>
      </c>
      <c r="D16" t="str">
        <f>_xlfn.XLOOKUP(tblDisciplinas[[#This Row],[TURMA]], tblTurmas[CODIGO_TURMA], tblTurmas[NOME_TURMA],"")</f>
        <v>Desenvolvedor de Soluções Integradas com TI - M - TechNip</v>
      </c>
      <c r="E16" t="s">
        <v>222</v>
      </c>
      <c r="F16">
        <v>60</v>
      </c>
      <c r="G16" t="s">
        <v>217</v>
      </c>
    </row>
    <row r="17" spans="1:7" x14ac:dyDescent="0.35">
      <c r="A17">
        <f t="shared" si="1"/>
        <v>15</v>
      </c>
      <c r="B17">
        <f>_xlfn.XLOOKUP(tblDisciplinas[[#This Row],[TURMA]],tblTurmas[CODIGO_TURMA],tblTurmas[ID_TURMA],"")</f>
        <v>3</v>
      </c>
      <c r="C17" t="s">
        <v>202</v>
      </c>
      <c r="D17" t="str">
        <f>_xlfn.XLOOKUP(tblDisciplinas[[#This Row],[TURMA]], tblTurmas[CODIGO_TURMA], tblTurmas[NOME_TURMA],"")</f>
        <v>Desenvolvedor de Soluções Integradas com TI - M - TechNip</v>
      </c>
      <c r="E17" t="s">
        <v>223</v>
      </c>
      <c r="F17">
        <v>60</v>
      </c>
      <c r="G17" t="s">
        <v>217</v>
      </c>
    </row>
    <row r="18" spans="1:7" x14ac:dyDescent="0.35">
      <c r="A18">
        <f t="shared" si="1"/>
        <v>16</v>
      </c>
      <c r="B18">
        <f>_xlfn.XLOOKUP(tblDisciplinas[[#This Row],[TURMA]],tblTurmas[CODIGO_TURMA],tblTurmas[ID_TURMA],"")</f>
        <v>3</v>
      </c>
      <c r="C18" t="s">
        <v>202</v>
      </c>
      <c r="D18" t="str">
        <f>_xlfn.XLOOKUP(tblDisciplinas[[#This Row],[TURMA]], tblTurmas[CODIGO_TURMA], tblTurmas[NOME_TURMA],"")</f>
        <v>Desenvolvedor de Soluções Integradas com TI - M - TechNip</v>
      </c>
      <c r="E18" t="s">
        <v>224</v>
      </c>
      <c r="F18">
        <v>60</v>
      </c>
      <c r="G18" t="s">
        <v>217</v>
      </c>
    </row>
    <row r="19" spans="1:7" x14ac:dyDescent="0.35">
      <c r="A19">
        <f t="shared" si="1"/>
        <v>17</v>
      </c>
      <c r="B19">
        <f>_xlfn.XLOOKUP(tblDisciplinas[[#This Row],[TURMA]],tblTurmas[CODIGO_TURMA],tblTurmas[ID_TURMA],"")</f>
        <v>3</v>
      </c>
      <c r="C19" t="s">
        <v>202</v>
      </c>
      <c r="D19" t="str">
        <f>_xlfn.XLOOKUP(tblDisciplinas[[#This Row],[TURMA]], tblTurmas[CODIGO_TURMA], tblTurmas[NOME_TURMA],"")</f>
        <v>Desenvolvedor de Soluções Integradas com TI - M - TechNip</v>
      </c>
      <c r="E19" t="s">
        <v>225</v>
      </c>
      <c r="F19">
        <v>60</v>
      </c>
      <c r="G19" t="s">
        <v>217</v>
      </c>
    </row>
    <row r="20" spans="1:7" x14ac:dyDescent="0.35">
      <c r="A20">
        <f t="shared" si="1"/>
        <v>18</v>
      </c>
      <c r="B20">
        <f>_xlfn.XLOOKUP(tblDisciplinas[[#This Row],[TURMA]],tblTurmas[CODIGO_TURMA],tblTurmas[ID_TURMA],"")</f>
        <v>3</v>
      </c>
      <c r="C20" t="s">
        <v>202</v>
      </c>
      <c r="D20" t="str">
        <f>_xlfn.XLOOKUP(tblDisciplinas[[#This Row],[TURMA]], tblTurmas[CODIGO_TURMA], tblTurmas[NOME_TURMA],"")</f>
        <v>Desenvolvedor de Soluções Integradas com TI - M - TechNip</v>
      </c>
      <c r="E20" t="s">
        <v>207</v>
      </c>
      <c r="F20">
        <v>60</v>
      </c>
      <c r="G20" t="s">
        <v>217</v>
      </c>
    </row>
    <row r="21" spans="1:7" x14ac:dyDescent="0.35">
      <c r="A21">
        <f t="shared" si="1"/>
        <v>19</v>
      </c>
      <c r="B21">
        <f>_xlfn.XLOOKUP(tblDisciplinas[[#This Row],[TURMA]],tblTurmas[CODIGO_TURMA],tblTurmas[ID_TURMA],"")</f>
        <v>3</v>
      </c>
      <c r="C21" t="s">
        <v>202</v>
      </c>
      <c r="D21" t="str">
        <f>_xlfn.XLOOKUP(tblDisciplinas[[#This Row],[TURMA]], tblTurmas[CODIGO_TURMA], tblTurmas[NOME_TURMA],"")</f>
        <v>Desenvolvedor de Soluções Integradas com TI - M - TechNip</v>
      </c>
      <c r="E21" t="s">
        <v>226</v>
      </c>
      <c r="F21">
        <v>60</v>
      </c>
      <c r="G21" t="s">
        <v>217</v>
      </c>
    </row>
    <row r="22" spans="1:7" x14ac:dyDescent="0.35">
      <c r="A22">
        <f t="shared" si="1"/>
        <v>20</v>
      </c>
      <c r="B22">
        <f>_xlfn.XLOOKUP(tblDisciplinas[[#This Row],[TURMA]],tblTurmas[CODIGO_TURMA],tblTurmas[ID_TURMA],"")</f>
        <v>3</v>
      </c>
      <c r="C22" t="s">
        <v>202</v>
      </c>
      <c r="D22" t="str">
        <f>_xlfn.XLOOKUP(tblDisciplinas[[#This Row],[TURMA]], tblTurmas[CODIGO_TURMA], tblTurmas[NOME_TURMA],"")</f>
        <v>Desenvolvedor de Soluções Integradas com TI - M - TechNip</v>
      </c>
      <c r="E22" t="s">
        <v>227</v>
      </c>
      <c r="F22">
        <v>60</v>
      </c>
      <c r="G22" t="s">
        <v>217</v>
      </c>
    </row>
    <row r="23" spans="1:7" x14ac:dyDescent="0.35">
      <c r="A23">
        <f t="shared" si="1"/>
        <v>21</v>
      </c>
      <c r="B23">
        <f>_xlfn.XLOOKUP(tblDisciplinas[[#This Row],[TURMA]],tblTurmas[CODIGO_TURMA],tblTurmas[ID_TURMA],"")</f>
        <v>3</v>
      </c>
      <c r="C23" t="s">
        <v>202</v>
      </c>
      <c r="D23" t="str">
        <f>_xlfn.XLOOKUP(tblDisciplinas[[#This Row],[TURMA]], tblTurmas[CODIGO_TURMA], tblTurmas[NOME_TURMA],"")</f>
        <v>Desenvolvedor de Soluções Integradas com TI - M - TechNip</v>
      </c>
      <c r="E23" t="s">
        <v>228</v>
      </c>
      <c r="F23">
        <v>60</v>
      </c>
      <c r="G23" t="s">
        <v>217</v>
      </c>
    </row>
    <row r="24" spans="1:7" x14ac:dyDescent="0.35">
      <c r="A24">
        <f t="shared" si="1"/>
        <v>22</v>
      </c>
      <c r="B24">
        <f>_xlfn.XLOOKUP(tblDisciplinas[[#This Row],[TURMA]],tblTurmas[CODIGO_TURMA],tblTurmas[ID_TURMA],"")</f>
        <v>3</v>
      </c>
      <c r="C24" t="s">
        <v>202</v>
      </c>
      <c r="D24" t="str">
        <f>_xlfn.XLOOKUP(tblDisciplinas[[#This Row],[TURMA]], tblTurmas[CODIGO_TURMA], tblTurmas[NOME_TURMA],"")</f>
        <v>Desenvolvedor de Soluções Integradas com TI - M - TechNip</v>
      </c>
      <c r="E24" t="s">
        <v>229</v>
      </c>
      <c r="F24">
        <v>60</v>
      </c>
      <c r="G24" t="s">
        <v>217</v>
      </c>
    </row>
    <row r="25" spans="1:7" x14ac:dyDescent="0.35">
      <c r="A25">
        <f t="shared" si="1"/>
        <v>23</v>
      </c>
      <c r="B25">
        <f>_xlfn.XLOOKUP(tblDisciplinas[[#This Row],[TURMA]],tblTurmas[CODIGO_TURMA],tblTurmas[ID_TURMA],"")</f>
        <v>3</v>
      </c>
      <c r="C25" t="s">
        <v>202</v>
      </c>
      <c r="D25" t="str">
        <f>_xlfn.XLOOKUP(tblDisciplinas[[#This Row],[TURMA]], tblTurmas[CODIGO_TURMA], tblTurmas[NOME_TURMA],"")</f>
        <v>Desenvolvedor de Soluções Integradas com TI - M - TechNip</v>
      </c>
      <c r="E25" t="s">
        <v>230</v>
      </c>
      <c r="F25">
        <v>60</v>
      </c>
      <c r="G25" t="s">
        <v>217</v>
      </c>
    </row>
    <row r="26" spans="1:7" x14ac:dyDescent="0.35">
      <c r="A26">
        <f t="shared" si="1"/>
        <v>24</v>
      </c>
      <c r="B26">
        <f>_xlfn.XLOOKUP(tblDisciplinas[[#This Row],[TURMA]],tblTurmas[CODIGO_TURMA],tblTurmas[ID_TURMA],"")</f>
        <v>3</v>
      </c>
      <c r="C26" t="s">
        <v>202</v>
      </c>
      <c r="D26" t="str">
        <f>_xlfn.XLOOKUP(tblDisciplinas[[#This Row],[TURMA]], tblTurmas[CODIGO_TURMA], tblTurmas[NOME_TURMA],"")</f>
        <v>Desenvolvedor de Soluções Integradas com TI - M - TechNip</v>
      </c>
      <c r="E26" t="s">
        <v>231</v>
      </c>
      <c r="F26">
        <v>60</v>
      </c>
      <c r="G26" t="s">
        <v>217</v>
      </c>
    </row>
    <row r="27" spans="1:7" x14ac:dyDescent="0.35">
      <c r="A27">
        <f t="shared" si="1"/>
        <v>25</v>
      </c>
      <c r="B27">
        <f>_xlfn.XLOOKUP(tblDisciplinas[[#This Row],[TURMA]],tblTurmas[CODIGO_TURMA],tblTurmas[ID_TURMA],"")</f>
        <v>3</v>
      </c>
      <c r="C27" t="s">
        <v>202</v>
      </c>
      <c r="D27" t="str">
        <f>_xlfn.XLOOKUP(tblDisciplinas[[#This Row],[TURMA]], tblTurmas[CODIGO_TURMA], tblTurmas[NOME_TURMA],"")</f>
        <v>Desenvolvedor de Soluções Integradas com TI - M - TechNip</v>
      </c>
      <c r="E27" t="s">
        <v>232</v>
      </c>
      <c r="F27">
        <v>60</v>
      </c>
      <c r="G27" t="s">
        <v>217</v>
      </c>
    </row>
    <row r="28" spans="1:7" x14ac:dyDescent="0.35">
      <c r="A28">
        <f t="shared" si="1"/>
        <v>26</v>
      </c>
      <c r="B28">
        <f>_xlfn.XLOOKUP(tblDisciplinas[[#This Row],[TURMA]],tblTurmas[CODIGO_TURMA],tblTurmas[ID_TURMA],"")</f>
        <v>3</v>
      </c>
      <c r="C28" t="s">
        <v>202</v>
      </c>
      <c r="D28" t="str">
        <f>_xlfn.XLOOKUP(tblDisciplinas[[#This Row],[TURMA]], tblTurmas[CODIGO_TURMA], tblTurmas[NOME_TURMA],"")</f>
        <v>Desenvolvedor de Soluções Integradas com TI - M - TechNip</v>
      </c>
      <c r="E28" t="s">
        <v>233</v>
      </c>
      <c r="F28">
        <v>60</v>
      </c>
      <c r="G28" t="s">
        <v>217</v>
      </c>
    </row>
    <row r="29" spans="1:7" x14ac:dyDescent="0.35">
      <c r="A29">
        <f>IF(E19&lt;&gt;"",ROW()-2,"")</f>
        <v>27</v>
      </c>
      <c r="B29">
        <f>_xlfn.XLOOKUP(tblDisciplinas[[#This Row],[TURMA]],tblTurmas[CODIGO_TURMA],tblTurmas[ID_TURMA],"")</f>
        <v>3</v>
      </c>
      <c r="C29" t="s">
        <v>202</v>
      </c>
      <c r="D29" t="str">
        <f>_xlfn.XLOOKUP(tblDisciplinas[[#This Row],[TURMA]], tblTurmas[CODIGO_TURMA], tblTurmas[NOME_TURMA],"")</f>
        <v>Desenvolvedor de Soluções Integradas com TI - M - TechNip</v>
      </c>
      <c r="E29" t="s">
        <v>234</v>
      </c>
      <c r="F29">
        <v>60</v>
      </c>
      <c r="G29" t="s">
        <v>217</v>
      </c>
    </row>
    <row r="30" spans="1:7" x14ac:dyDescent="0.35">
      <c r="A30" s="3"/>
    </row>
    <row r="32" spans="1:7" x14ac:dyDescent="0.35">
      <c r="E32" s="40"/>
    </row>
  </sheetData>
  <mergeCells count="1">
    <mergeCell ref="A1:G1"/>
  </mergeCells>
  <phoneticPr fontId="1" type="noConversion"/>
  <dataValidations count="1">
    <dataValidation type="list" allowBlank="1" showInputMessage="1" showErrorMessage="1" sqref="G3:G29" xr:uid="{76BDC6B7-3F3A-4218-B321-4D782A1B0F18}">
      <formula1>"NÃO INICIADO, EM ANDAMENTO, FINALIZADO"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50D184-3FED-4302-8656-A86335060070}">
          <x14:formula1>
            <xm:f>TURMAS!$B$2:$B$4</xm:f>
          </x14:formula1>
          <xm:sqref>C3:C29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B6FE-8FE2-4358-BE93-2D3D6D9BF65B}">
  <sheetPr codeName="Planilha6">
    <tabColor theme="9" tint="0.39997558519241921"/>
  </sheetPr>
  <dimension ref="A1:P4"/>
  <sheetViews>
    <sheetView topLeftCell="E1" zoomScaleNormal="100" workbookViewId="0">
      <selection activeCell="J3" sqref="J3"/>
    </sheetView>
  </sheetViews>
  <sheetFormatPr defaultRowHeight="14.5" x14ac:dyDescent="0.35"/>
  <cols>
    <col min="1" max="1" width="12.1796875" customWidth="1"/>
    <col min="2" max="2" width="17.36328125" bestFit="1" customWidth="1"/>
    <col min="3" max="3" width="74.36328125" bestFit="1" customWidth="1"/>
    <col min="4" max="5" width="11.7265625" customWidth="1"/>
    <col min="6" max="7" width="17.26953125" customWidth="1"/>
    <col min="8" max="8" width="23.54296875" customWidth="1"/>
    <col min="9" max="9" width="25.81640625" bestFit="1" customWidth="1"/>
    <col min="10" max="10" width="23.54296875" customWidth="1"/>
    <col min="11" max="11" width="14" customWidth="1"/>
    <col min="12" max="12" width="16.7265625" customWidth="1"/>
    <col min="13" max="13" width="24" customWidth="1"/>
    <col min="14" max="14" width="15.26953125" customWidth="1"/>
    <col min="15" max="15" width="19.26953125" customWidth="1"/>
    <col min="16" max="16" width="13.6328125" bestFit="1" customWidth="1"/>
  </cols>
  <sheetData>
    <row r="1" spans="1:16" x14ac:dyDescent="0.35">
      <c r="A1" t="s">
        <v>121</v>
      </c>
      <c r="B1" t="s">
        <v>122</v>
      </c>
      <c r="C1" t="s">
        <v>123</v>
      </c>
      <c r="D1" t="s">
        <v>124</v>
      </c>
      <c r="E1" t="s">
        <v>3</v>
      </c>
      <c r="F1" t="s">
        <v>125</v>
      </c>
      <c r="G1" t="s">
        <v>15</v>
      </c>
      <c r="H1" t="s">
        <v>126</v>
      </c>
      <c r="I1" t="s">
        <v>235</v>
      </c>
      <c r="J1" t="s">
        <v>239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51</v>
      </c>
    </row>
    <row r="2" spans="1:16" x14ac:dyDescent="0.35">
      <c r="A2">
        <f>IF(B2&lt;&gt;"",ROW()-1,"")</f>
        <v>1</v>
      </c>
      <c r="B2" t="s">
        <v>132</v>
      </c>
      <c r="C2" t="s">
        <v>133</v>
      </c>
      <c r="D2" t="str">
        <f>_xlfn.XLOOKUP(tblTurmas[[#This Row],[TURNO]],tblTurnos[TURNO],tblTurnos[ID_TURNO],"EAD")</f>
        <v>EAD</v>
      </c>
      <c r="F2">
        <f>_xlfn.XLOOKUP(tblTurmas[[#This Row],[MODALIDADE]],tblModalidades[MODALIDADE],tblModalidades[ID_MODALIDADE],"")</f>
        <v>2</v>
      </c>
      <c r="G2" t="s">
        <v>21</v>
      </c>
      <c r="H2" t="str">
        <f>_xlfn.XLOOKUP(tblTurmas[[#This Row],[INSTRUTOR]],tblInstrutores[NOME_COMPLETO],tblInstrutores[ID],"")</f>
        <v/>
      </c>
      <c r="J2" s="41"/>
      <c r="K2" s="2">
        <v>46090</v>
      </c>
      <c r="L2" s="2">
        <v>46234</v>
      </c>
      <c r="M2">
        <v>200</v>
      </c>
      <c r="N2">
        <v>500</v>
      </c>
      <c r="O2">
        <v>364</v>
      </c>
      <c r="P2" t="s">
        <v>195</v>
      </c>
    </row>
    <row r="3" spans="1:16" x14ac:dyDescent="0.35">
      <c r="A3">
        <f t="shared" ref="A3:A4" si="0">IF(B3&lt;&gt;"",ROW()-1,"")</f>
        <v>2</v>
      </c>
      <c r="B3" s="34" t="s">
        <v>193</v>
      </c>
      <c r="C3" t="s">
        <v>194</v>
      </c>
      <c r="D3">
        <f>_xlfn.XLOOKUP(tblTurmas[[#This Row],[TURNO]],tblTurnos[TURNO],tblTurnos[ID_TURNO],"EAD")</f>
        <v>1</v>
      </c>
      <c r="E3" t="s">
        <v>7</v>
      </c>
      <c r="F3">
        <f>_xlfn.XLOOKUP(tblTurmas[[#This Row],[MODALIDADE]],tblModalidades[MODALIDADE],tblModalidades[ID_MODALIDADE],"")</f>
        <v>1</v>
      </c>
      <c r="G3" t="s">
        <v>18</v>
      </c>
      <c r="H3">
        <f>_xlfn.XLOOKUP(tblTurmas[[#This Row],[INSTRUTOR]],tblInstrutores[NOME_COMPLETO],tblInstrutores[ID],"")</f>
        <v>2</v>
      </c>
      <c r="I3" t="s">
        <v>62</v>
      </c>
      <c r="J3" s="33">
        <v>5.2083333333333336E-2</v>
      </c>
      <c r="K3" s="2">
        <v>46091</v>
      </c>
      <c r="L3" s="2">
        <v>46204</v>
      </c>
      <c r="M3">
        <v>432</v>
      </c>
      <c r="N3">
        <v>22</v>
      </c>
      <c r="O3">
        <v>22</v>
      </c>
      <c r="P3" t="s">
        <v>195</v>
      </c>
    </row>
    <row r="4" spans="1:16" x14ac:dyDescent="0.35">
      <c r="A4">
        <f t="shared" si="0"/>
        <v>3</v>
      </c>
      <c r="B4" s="38" t="s">
        <v>202</v>
      </c>
      <c r="C4" t="s">
        <v>203</v>
      </c>
      <c r="D4">
        <f>_xlfn.XLOOKUP(tblTurmas[[#This Row],[TURNO]],tblTurnos[TURNO],tblTurnos[ID_TURNO],"EAD")</f>
        <v>1</v>
      </c>
      <c r="E4" t="s">
        <v>7</v>
      </c>
      <c r="F4">
        <f>_xlfn.XLOOKUP(tblTurmas[[#This Row],[MODALIDADE]],tblModalidades[MODALIDADE],tblModalidades[ID_MODALIDADE],"")</f>
        <v>1</v>
      </c>
      <c r="G4" t="s">
        <v>18</v>
      </c>
      <c r="H4">
        <f>_xlfn.XLOOKUP(tblTurmas[[#This Row],[INSTRUTOR]],tblInstrutores[NOME_COMPLETO],tblInstrutores[ID],"")</f>
        <v>9</v>
      </c>
      <c r="I4" t="s">
        <v>83</v>
      </c>
      <c r="J4" s="33">
        <v>1.0416666666666666E-2</v>
      </c>
      <c r="K4" s="2">
        <v>46097</v>
      </c>
      <c r="L4" s="31">
        <v>46465</v>
      </c>
      <c r="M4">
        <v>800</v>
      </c>
      <c r="N4">
        <v>15</v>
      </c>
      <c r="O4">
        <v>15</v>
      </c>
      <c r="P4" t="s">
        <v>195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8B9389-E288-49BB-9377-9334E3C2F7E0}">
          <x14:formula1>
            <xm:f>TURNOS!$B$3:$B$5</xm:f>
          </x14:formula1>
          <xm:sqref>E2:E4</xm:sqref>
        </x14:dataValidation>
        <x14:dataValidation type="list" allowBlank="1" showInputMessage="1" showErrorMessage="1" xr:uid="{79F76144-C65C-44AE-B388-CBC8DAECBE26}">
          <x14:formula1>
            <xm:f>INSTRUTORES!$B$2:$B$14</xm:f>
          </x14:formula1>
          <xm:sqref>I2:I4</xm:sqref>
        </x14:dataValidation>
        <x14:dataValidation type="list" allowBlank="1" showInputMessage="1" showErrorMessage="1" xr:uid="{D6CD5272-A5D9-471D-A2FC-1A163B8A43B1}">
          <x14:formula1>
            <xm:f>MODALIDADES!$B$3:$B$4</xm:f>
          </x14:formula1>
          <xm:sqref>G2:G5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D668-126E-4BA7-8109-A2D309404B82}">
  <sheetPr codeName="Planilha8">
    <tabColor theme="5" tint="0.39997558519241921"/>
  </sheetPr>
  <dimension ref="A1:T286"/>
  <sheetViews>
    <sheetView workbookViewId="0">
      <selection activeCell="F24" sqref="F24"/>
    </sheetView>
  </sheetViews>
  <sheetFormatPr defaultRowHeight="14.5" x14ac:dyDescent="0.35"/>
  <cols>
    <col min="1" max="1" width="14" customWidth="1"/>
    <col min="2" max="2" width="10.54296875" bestFit="1" customWidth="1"/>
    <col min="3" max="3" width="12.1796875" customWidth="1"/>
    <col min="4" max="4" width="13.08984375" customWidth="1"/>
    <col min="5" max="6" width="15.26953125" customWidth="1"/>
    <col min="7" max="7" width="15.453125" customWidth="1"/>
    <col min="8" max="8" width="18.81640625" bestFit="1" customWidth="1"/>
    <col min="9" max="9" width="14.7265625" customWidth="1"/>
    <col min="10" max="10" width="28.1796875" bestFit="1" customWidth="1"/>
    <col min="11" max="12" width="11.7265625" customWidth="1"/>
    <col min="13" max="14" width="17.26953125" customWidth="1"/>
    <col min="15" max="15" width="14.26953125" customWidth="1"/>
    <col min="16" max="16" width="12" customWidth="1"/>
    <col min="17" max="17" width="14.54296875" customWidth="1"/>
    <col min="18" max="18" width="20.54296875" customWidth="1"/>
    <col min="19" max="19" width="15.1796875" customWidth="1"/>
    <col min="20" max="20" width="15.26953125" customWidth="1"/>
  </cols>
  <sheetData>
    <row r="1" spans="1:20" x14ac:dyDescent="0.35">
      <c r="A1" t="s">
        <v>137</v>
      </c>
      <c r="B1" t="s">
        <v>23</v>
      </c>
      <c r="C1" t="s">
        <v>121</v>
      </c>
      <c r="D1" t="s">
        <v>206</v>
      </c>
      <c r="E1" t="s">
        <v>134</v>
      </c>
      <c r="F1" t="s">
        <v>236</v>
      </c>
      <c r="G1" t="s">
        <v>138</v>
      </c>
      <c r="H1" t="s">
        <v>204</v>
      </c>
      <c r="I1" t="s">
        <v>139</v>
      </c>
      <c r="J1" t="s">
        <v>237</v>
      </c>
      <c r="K1" t="s">
        <v>2</v>
      </c>
      <c r="L1" t="s">
        <v>238</v>
      </c>
      <c r="M1" t="s">
        <v>14</v>
      </c>
      <c r="N1" t="s">
        <v>15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</row>
    <row r="2" spans="1:20" x14ac:dyDescent="0.35">
      <c r="A2">
        <v>5</v>
      </c>
      <c r="B2" s="2">
        <v>46097</v>
      </c>
      <c r="C2">
        <f>_xlfn.XLOOKUP(tblAlocacao[[#This Row],[TURMA]],tblTurmas[CODIGO_TURMA],tblTurmas[ID_TURMA],"")</f>
        <v>3</v>
      </c>
      <c r="D2" t="s">
        <v>202</v>
      </c>
      <c r="E2">
        <f>_xlfn.XLOOKUP(tblAlocacao[[#This Row],[DISCIPLINA]],tblDisciplinas[NOME_DISCIPLINA],tblDisciplinas[ID_DISCIPLINA],"")</f>
        <v>10</v>
      </c>
      <c r="F2" s="40" t="s">
        <v>218</v>
      </c>
      <c r="G2">
        <f>_xlfn.XLOOKUP(tblAlocacao[[#This Row],[Nome do Instrutor]],tblInstrutores[NOME_COMPLETO],tblInstrutores[ID],"")</f>
        <v>9</v>
      </c>
      <c r="H2" t="str">
        <f>_xlfn.XLOOKUP(tblAlocacao[[#This Row],[TURMA]],tblTurmas[CODIGO_TURMA],tblTurmas[INSTRUTOR],"")</f>
        <v>Raphael Barreto de Oliveira</v>
      </c>
      <c r="I2">
        <f>_xlfn.XLOOKUP(tblAlocacao[[#This Row],[AMBIENTE]],tblAmbientes[NOME_AMBIENTE],tblAmbientes[ID],"")</f>
        <v>8</v>
      </c>
      <c r="J2" t="s">
        <v>110</v>
      </c>
      <c r="K2">
        <f>_xlfn.XLOOKUP(tblAlocacao[[#This Row],['#VALOR!]],tblTurnos[TURNO],tblTurnos[ID_TURNO],"")</f>
        <v>1</v>
      </c>
      <c r="L2" t="str">
        <f>_xlfn.XLOOKUP(tblAlocacao[[#This Row],[TURMA]],tblTurmas[CODIGO_TURMA],tblTurmas[TURNO],"")</f>
        <v>MANHÃ</v>
      </c>
      <c r="M2">
        <f>_xlfn.XLOOKUP(tblAlocacao[[#This Row],[MODALIDADE]], tblModalidades[MODALIDADE], tblModalidades[ID_MODALIDADE],"")</f>
        <v>1</v>
      </c>
      <c r="N2" t="s">
        <v>18</v>
      </c>
      <c r="O2" s="32">
        <v>0.33333333333333331</v>
      </c>
      <c r="P2" s="32">
        <v>0.5</v>
      </c>
      <c r="Q2" s="33">
        <f>($P2-$O2)-_xlfn.XLOOKUP(tblAlocacao[[#This Row],[TURMA]],tblTurmas[CODIGO_TURMA],tblTurmas[INTERVALO],"")</f>
        <v>0.15625000000000003</v>
      </c>
      <c r="R2">
        <v>15</v>
      </c>
      <c r="S2" t="s">
        <v>191</v>
      </c>
      <c r="T2" t="s">
        <v>146</v>
      </c>
    </row>
    <row r="3" spans="1:20" x14ac:dyDescent="0.35">
      <c r="A3">
        <v>7</v>
      </c>
      <c r="B3" s="2">
        <v>46098</v>
      </c>
      <c r="C3">
        <f>_xlfn.XLOOKUP(tblAlocacao[[#This Row],[TURMA]],tblTurmas[CODIGO_TURMA],tblTurmas[ID_TURMA],"")</f>
        <v>3</v>
      </c>
      <c r="D3" t="s">
        <v>202</v>
      </c>
      <c r="E3">
        <f>_xlfn.XLOOKUP(tblAlocacao[[#This Row],[DISCIPLINA]],tblDisciplinas[NOME_DISCIPLINA],tblDisciplinas[ID_DISCIPLINA],"")</f>
        <v>10</v>
      </c>
      <c r="F3" s="40" t="s">
        <v>218</v>
      </c>
      <c r="G3">
        <f>_xlfn.XLOOKUP(tblAlocacao[[#This Row],[Nome do Instrutor]],tblInstrutores[NOME_COMPLETO],tblInstrutores[ID],"")</f>
        <v>9</v>
      </c>
      <c r="H3" t="str">
        <f>_xlfn.XLOOKUP(tblAlocacao[[#This Row],[TURMA]],tblTurmas[CODIGO_TURMA],tblTurmas[INSTRUTOR],"")</f>
        <v>Raphael Barreto de Oliveira</v>
      </c>
      <c r="I3">
        <f>_xlfn.XLOOKUP(tblAlocacao[[#This Row],[AMBIENTE]],tblAmbientes[NOME_AMBIENTE],tblAmbientes[ID],"")</f>
        <v>8</v>
      </c>
      <c r="J3" t="s">
        <v>110</v>
      </c>
      <c r="K3">
        <f>_xlfn.XLOOKUP(tblAlocacao[[#This Row],['#VALOR!]],tblTurnos[TURNO],tblTurnos[ID_TURNO],"")</f>
        <v>1</v>
      </c>
      <c r="L3" t="str">
        <f>_xlfn.XLOOKUP(tblAlocacao[[#This Row],[TURMA]],tblTurmas[CODIGO_TURMA],tblTurmas[TURNO],"")</f>
        <v>MANHÃ</v>
      </c>
      <c r="M3">
        <f>_xlfn.XLOOKUP(tblAlocacao[[#This Row],[MODALIDADE]], tblModalidades[MODALIDADE], tblModalidades[ID_MODALIDADE],"")</f>
        <v>1</v>
      </c>
      <c r="N3" t="s">
        <v>18</v>
      </c>
      <c r="O3" s="32">
        <v>0.33333333333333331</v>
      </c>
      <c r="P3" s="32">
        <v>0.5</v>
      </c>
      <c r="Q3" s="33">
        <f>($P3-$O3)-_xlfn.XLOOKUP(tblAlocacao[[#This Row],[TURMA]],tblTurmas[CODIGO_TURMA],tblTurmas[INTERVALO],"")</f>
        <v>0.15625000000000003</v>
      </c>
      <c r="R3">
        <v>15</v>
      </c>
      <c r="S3" t="s">
        <v>191</v>
      </c>
      <c r="T3" t="s">
        <v>146</v>
      </c>
    </row>
    <row r="4" spans="1:20" x14ac:dyDescent="0.35">
      <c r="A4">
        <v>9</v>
      </c>
      <c r="B4" s="2">
        <v>46099</v>
      </c>
      <c r="C4">
        <f>_xlfn.XLOOKUP(tblAlocacao[[#This Row],[TURMA]],tblTurmas[CODIGO_TURMA],tblTurmas[ID_TURMA],"")</f>
        <v>3</v>
      </c>
      <c r="D4" t="s">
        <v>202</v>
      </c>
      <c r="E4">
        <f>_xlfn.XLOOKUP(tblAlocacao[[#This Row],[DISCIPLINA]],tblDisciplinas[NOME_DISCIPLINA],tblDisciplinas[ID_DISCIPLINA],"")</f>
        <v>10</v>
      </c>
      <c r="F4" s="40" t="s">
        <v>218</v>
      </c>
      <c r="G4">
        <f>_xlfn.XLOOKUP(tblAlocacao[[#This Row],[Nome do Instrutor]],tblInstrutores[NOME_COMPLETO],tblInstrutores[ID],"")</f>
        <v>9</v>
      </c>
      <c r="H4" t="str">
        <f>_xlfn.XLOOKUP(tblAlocacao[[#This Row],[TURMA]],tblTurmas[CODIGO_TURMA],tblTurmas[INSTRUTOR],"")</f>
        <v>Raphael Barreto de Oliveira</v>
      </c>
      <c r="I4">
        <f>_xlfn.XLOOKUP(tblAlocacao[[#This Row],[AMBIENTE]],tblAmbientes[NOME_AMBIENTE],tblAmbientes[ID],"")</f>
        <v>8</v>
      </c>
      <c r="J4" t="s">
        <v>110</v>
      </c>
      <c r="K4">
        <f>_xlfn.XLOOKUP(tblAlocacao[[#This Row],['#VALOR!]],tblTurnos[TURNO],tblTurnos[ID_TURNO],"")</f>
        <v>1</v>
      </c>
      <c r="L4" t="str">
        <f>_xlfn.XLOOKUP(tblAlocacao[[#This Row],[TURMA]],tblTurmas[CODIGO_TURMA],tblTurmas[TURNO],"")</f>
        <v>MANHÃ</v>
      </c>
      <c r="M4">
        <f>_xlfn.XLOOKUP(tblAlocacao[[#This Row],[MODALIDADE]], tblModalidades[MODALIDADE], tblModalidades[ID_MODALIDADE],"")</f>
        <v>1</v>
      </c>
      <c r="N4" t="s">
        <v>18</v>
      </c>
      <c r="O4" s="32">
        <v>0.33333333333333331</v>
      </c>
      <c r="P4" s="32">
        <v>0.5</v>
      </c>
      <c r="Q4" s="33">
        <f>($P4-$O4)-_xlfn.XLOOKUP(tblAlocacao[[#This Row],[TURMA]],tblTurmas[CODIGO_TURMA],tblTurmas[INTERVALO],"")</f>
        <v>0.15625000000000003</v>
      </c>
      <c r="R4">
        <v>15</v>
      </c>
      <c r="S4" t="s">
        <v>191</v>
      </c>
      <c r="T4" t="s">
        <v>146</v>
      </c>
    </row>
    <row r="5" spans="1:20" x14ac:dyDescent="0.35">
      <c r="A5">
        <v>11</v>
      </c>
      <c r="B5" s="2">
        <v>46100</v>
      </c>
      <c r="C5">
        <f>_xlfn.XLOOKUP(tblAlocacao[[#This Row],[TURMA]],tblTurmas[CODIGO_TURMA],tblTurmas[ID_TURMA],"")</f>
        <v>3</v>
      </c>
      <c r="D5" t="s">
        <v>202</v>
      </c>
      <c r="E5">
        <f>_xlfn.XLOOKUP(tblAlocacao[[#This Row],[DISCIPLINA]],tblDisciplinas[NOME_DISCIPLINA],tblDisciplinas[ID_DISCIPLINA],"")</f>
        <v>10</v>
      </c>
      <c r="F5" s="40" t="s">
        <v>218</v>
      </c>
      <c r="G5">
        <f>_xlfn.XLOOKUP(tblAlocacao[[#This Row],[Nome do Instrutor]],tblInstrutores[NOME_COMPLETO],tblInstrutores[ID],"")</f>
        <v>9</v>
      </c>
      <c r="H5" t="str">
        <f>_xlfn.XLOOKUP(tblAlocacao[[#This Row],[TURMA]],tblTurmas[CODIGO_TURMA],tblTurmas[INSTRUTOR],"")</f>
        <v>Raphael Barreto de Oliveira</v>
      </c>
      <c r="I5">
        <f>_xlfn.XLOOKUP(tblAlocacao[[#This Row],[AMBIENTE]],tblAmbientes[NOME_AMBIENTE],tblAmbientes[ID],"")</f>
        <v>8</v>
      </c>
      <c r="J5" t="s">
        <v>110</v>
      </c>
      <c r="K5">
        <f>_xlfn.XLOOKUP(tblAlocacao[[#This Row],['#VALOR!]],tblTurnos[TURNO],tblTurnos[ID_TURNO],"")</f>
        <v>1</v>
      </c>
      <c r="L5" t="str">
        <f>_xlfn.XLOOKUP(tblAlocacao[[#This Row],[TURMA]],tblTurmas[CODIGO_TURMA],tblTurmas[TURNO],"")</f>
        <v>MANHÃ</v>
      </c>
      <c r="M5">
        <f>_xlfn.XLOOKUP(tblAlocacao[[#This Row],[MODALIDADE]], tblModalidades[MODALIDADE], tblModalidades[ID_MODALIDADE],"")</f>
        <v>1</v>
      </c>
      <c r="N5" t="s">
        <v>18</v>
      </c>
      <c r="O5" s="32">
        <v>0.33333333333333331</v>
      </c>
      <c r="P5" s="32">
        <v>0.5</v>
      </c>
      <c r="Q5" s="33">
        <f>($P5-$O5)-_xlfn.XLOOKUP(tblAlocacao[[#This Row],[TURMA]],tblTurmas[CODIGO_TURMA],tblTurmas[INTERVALO],"")</f>
        <v>0.15625000000000003</v>
      </c>
      <c r="R5">
        <v>15</v>
      </c>
      <c r="S5" t="s">
        <v>191</v>
      </c>
      <c r="T5" t="s">
        <v>146</v>
      </c>
    </row>
    <row r="6" spans="1:20" x14ac:dyDescent="0.35">
      <c r="A6">
        <v>12</v>
      </c>
      <c r="B6" s="2">
        <v>46101</v>
      </c>
      <c r="C6">
        <f>_xlfn.XLOOKUP(tblAlocacao[[#This Row],[TURMA]],tblTurmas[CODIGO_TURMA],tblTurmas[ID_TURMA],"")</f>
        <v>3</v>
      </c>
      <c r="D6" t="s">
        <v>202</v>
      </c>
      <c r="E6">
        <f>_xlfn.XLOOKUP(tblAlocacao[[#This Row],[DISCIPLINA]],tblDisciplinas[NOME_DISCIPLINA],tblDisciplinas[ID_DISCIPLINA],"")</f>
        <v>10</v>
      </c>
      <c r="F6" s="40" t="s">
        <v>218</v>
      </c>
      <c r="G6">
        <f>_xlfn.XLOOKUP(tblAlocacao[[#This Row],[Nome do Instrutor]],tblInstrutores[NOME_COMPLETO],tblInstrutores[ID],"")</f>
        <v>9</v>
      </c>
      <c r="H6" t="str">
        <f>_xlfn.XLOOKUP(tblAlocacao[[#This Row],[TURMA]],tblTurmas[CODIGO_TURMA],tblTurmas[INSTRUTOR],"")</f>
        <v>Raphael Barreto de Oliveira</v>
      </c>
      <c r="I6">
        <f>_xlfn.XLOOKUP(tblAlocacao[[#This Row],[AMBIENTE]],tblAmbientes[NOME_AMBIENTE],tblAmbientes[ID],"")</f>
        <v>8</v>
      </c>
      <c r="J6" t="s">
        <v>110</v>
      </c>
      <c r="K6">
        <f>_xlfn.XLOOKUP(tblAlocacao[[#This Row],['#VALOR!]],tblTurnos[TURNO],tblTurnos[ID_TURNO],"")</f>
        <v>1</v>
      </c>
      <c r="L6" t="str">
        <f>_xlfn.XLOOKUP(tblAlocacao[[#This Row],[TURMA]],tblTurmas[CODIGO_TURMA],tblTurmas[TURNO],"")</f>
        <v>MANHÃ</v>
      </c>
      <c r="M6">
        <f>_xlfn.XLOOKUP(tblAlocacao[[#This Row],[MODALIDADE]], tblModalidades[MODALIDADE], tblModalidades[ID_MODALIDADE],"")</f>
        <v>1</v>
      </c>
      <c r="N6" t="s">
        <v>18</v>
      </c>
      <c r="O6" s="32">
        <v>0.33333333333333331</v>
      </c>
      <c r="P6" s="32">
        <v>0.5</v>
      </c>
      <c r="Q6" s="33">
        <f>($P6-$O6)-_xlfn.XLOOKUP(tblAlocacao[[#This Row],[TURMA]],tblTurmas[CODIGO_TURMA],tblTurmas[INTERVALO],"")</f>
        <v>0.15625000000000003</v>
      </c>
      <c r="R6">
        <v>15</v>
      </c>
      <c r="S6" t="s">
        <v>191</v>
      </c>
      <c r="T6" t="s">
        <v>146</v>
      </c>
    </row>
    <row r="7" spans="1:20" x14ac:dyDescent="0.35">
      <c r="A7">
        <v>14</v>
      </c>
      <c r="B7" s="2">
        <v>46104</v>
      </c>
      <c r="C7">
        <f>_xlfn.XLOOKUP(tblAlocacao[[#This Row],[TURMA]],tblTurmas[CODIGO_TURMA],tblTurmas[ID_TURMA],"")</f>
        <v>3</v>
      </c>
      <c r="D7" t="s">
        <v>202</v>
      </c>
      <c r="E7">
        <f>_xlfn.XLOOKUP(tblAlocacao[[#This Row],[DISCIPLINA]],tblDisciplinas[NOME_DISCIPLINA],tblDisciplinas[ID_DISCIPLINA],"")</f>
        <v>10</v>
      </c>
      <c r="F7" s="40" t="s">
        <v>218</v>
      </c>
      <c r="G7">
        <f>_xlfn.XLOOKUP(tblAlocacao[[#This Row],[Nome do Instrutor]],tblInstrutores[NOME_COMPLETO],tblInstrutores[ID],"")</f>
        <v>9</v>
      </c>
      <c r="H7" t="str">
        <f>_xlfn.XLOOKUP(tblAlocacao[[#This Row],[TURMA]],tblTurmas[CODIGO_TURMA],tblTurmas[INSTRUTOR],"")</f>
        <v>Raphael Barreto de Oliveira</v>
      </c>
      <c r="I7">
        <f>_xlfn.XLOOKUP(tblAlocacao[[#This Row],[AMBIENTE]],tblAmbientes[NOME_AMBIENTE],tblAmbientes[ID],"")</f>
        <v>8</v>
      </c>
      <c r="J7" t="s">
        <v>110</v>
      </c>
      <c r="K7">
        <f>_xlfn.XLOOKUP(tblAlocacao[[#This Row],['#VALOR!]],tblTurnos[TURNO],tblTurnos[ID_TURNO],"")</f>
        <v>1</v>
      </c>
      <c r="L7" t="str">
        <f>_xlfn.XLOOKUP(tblAlocacao[[#This Row],[TURMA]],tblTurmas[CODIGO_TURMA],tblTurmas[TURNO],"")</f>
        <v>MANHÃ</v>
      </c>
      <c r="M7">
        <f>_xlfn.XLOOKUP(tblAlocacao[[#This Row],[MODALIDADE]], tblModalidades[MODALIDADE], tblModalidades[ID_MODALIDADE],"")</f>
        <v>1</v>
      </c>
      <c r="N7" t="s">
        <v>18</v>
      </c>
      <c r="O7" s="32">
        <v>0.33333333333333331</v>
      </c>
      <c r="P7" s="32">
        <v>0.5</v>
      </c>
      <c r="Q7" s="33">
        <f>($P7-$O7)-_xlfn.XLOOKUP(tblAlocacao[[#This Row],[TURMA]],tblTurmas[CODIGO_TURMA],tblTurmas[INTERVALO],"")</f>
        <v>0.15625000000000003</v>
      </c>
      <c r="R7">
        <v>15</v>
      </c>
      <c r="S7" t="s">
        <v>191</v>
      </c>
      <c r="T7" t="s">
        <v>146</v>
      </c>
    </row>
    <row r="8" spans="1:20" x14ac:dyDescent="0.35">
      <c r="A8">
        <v>18</v>
      </c>
      <c r="B8" s="2">
        <v>46105</v>
      </c>
      <c r="C8">
        <f>_xlfn.XLOOKUP(tblAlocacao[[#This Row],[TURMA]],tblTurmas[CODIGO_TURMA],tblTurmas[ID_TURMA],"")</f>
        <v>3</v>
      </c>
      <c r="D8" t="s">
        <v>202</v>
      </c>
      <c r="E8">
        <v>2</v>
      </c>
      <c r="F8" s="40" t="s">
        <v>219</v>
      </c>
      <c r="G8">
        <f>_xlfn.XLOOKUP(tblAlocacao[[#This Row],[Nome do Instrutor]],tblInstrutores[NOME_COMPLETO],tblInstrutores[ID],"")</f>
        <v>9</v>
      </c>
      <c r="H8" t="str">
        <f>_xlfn.XLOOKUP(tblAlocacao[[#This Row],[TURMA]],tblTurmas[CODIGO_TURMA],tblTurmas[INSTRUTOR],"")</f>
        <v>Raphael Barreto de Oliveira</v>
      </c>
      <c r="I8">
        <f>_xlfn.XLOOKUP(tblAlocacao[[#This Row],[AMBIENTE]],tblAmbientes[NOME_AMBIENTE],tblAmbientes[ID],"")</f>
        <v>8</v>
      </c>
      <c r="J8" t="s">
        <v>110</v>
      </c>
      <c r="K8">
        <f>_xlfn.XLOOKUP(tblAlocacao[[#This Row],['#VALOR!]],tblTurnos[TURNO],tblTurnos[ID_TURNO],"")</f>
        <v>1</v>
      </c>
      <c r="L8" t="str">
        <f>_xlfn.XLOOKUP(tblAlocacao[[#This Row],[TURMA]],tblTurmas[CODIGO_TURMA],tblTurmas[TURNO],"")</f>
        <v>MANHÃ</v>
      </c>
      <c r="M8">
        <f>_xlfn.XLOOKUP(tblAlocacao[[#This Row],[MODALIDADE]], tblModalidades[MODALIDADE], tblModalidades[ID_MODALIDADE],"")</f>
        <v>1</v>
      </c>
      <c r="N8" t="s">
        <v>18</v>
      </c>
      <c r="O8" s="32">
        <v>0.33333333333333331</v>
      </c>
      <c r="P8" s="32">
        <v>0.5</v>
      </c>
      <c r="Q8" s="33">
        <f>($P8-$O8)-_xlfn.XLOOKUP(tblAlocacao[[#This Row],[TURMA]],tblTurmas[CODIGO_TURMA],tblTurmas[INTERVALO],"")</f>
        <v>0.15625000000000003</v>
      </c>
      <c r="R8">
        <v>15</v>
      </c>
      <c r="S8" t="s">
        <v>191</v>
      </c>
      <c r="T8" t="s">
        <v>146</v>
      </c>
    </row>
    <row r="9" spans="1:20" x14ac:dyDescent="0.35">
      <c r="A9">
        <v>19</v>
      </c>
      <c r="B9" s="2">
        <v>46106</v>
      </c>
      <c r="C9">
        <f>_xlfn.XLOOKUP(tblAlocacao[[#This Row],[TURMA]],tblTurmas[CODIGO_TURMA],tblTurmas[ID_TURMA],"")</f>
        <v>3</v>
      </c>
      <c r="D9" t="s">
        <v>202</v>
      </c>
      <c r="E9">
        <v>2</v>
      </c>
      <c r="F9" s="40" t="s">
        <v>219</v>
      </c>
      <c r="G9">
        <f>_xlfn.XLOOKUP(tblAlocacao[[#This Row],[Nome do Instrutor]],tblInstrutores[NOME_COMPLETO],tblInstrutores[ID],"")</f>
        <v>9</v>
      </c>
      <c r="H9" t="str">
        <f>_xlfn.XLOOKUP(tblAlocacao[[#This Row],[TURMA]],tblTurmas[CODIGO_TURMA],tblTurmas[INSTRUTOR],"")</f>
        <v>Raphael Barreto de Oliveira</v>
      </c>
      <c r="I9">
        <f>_xlfn.XLOOKUP(tblAlocacao[[#This Row],[AMBIENTE]],tblAmbientes[NOME_AMBIENTE],tblAmbientes[ID],"")</f>
        <v>8</v>
      </c>
      <c r="J9" t="s">
        <v>110</v>
      </c>
      <c r="K9">
        <f>_xlfn.XLOOKUP(tblAlocacao[[#This Row],['#VALOR!]],tblTurnos[TURNO],tblTurnos[ID_TURNO],"")</f>
        <v>1</v>
      </c>
      <c r="L9" t="str">
        <f>_xlfn.XLOOKUP(tblAlocacao[[#This Row],[TURMA]],tblTurmas[CODIGO_TURMA],tblTurmas[TURNO],"")</f>
        <v>MANHÃ</v>
      </c>
      <c r="M9">
        <f>_xlfn.XLOOKUP(tblAlocacao[[#This Row],[MODALIDADE]], tblModalidades[MODALIDADE], tblModalidades[ID_MODALIDADE],"")</f>
        <v>1</v>
      </c>
      <c r="N9" t="s">
        <v>18</v>
      </c>
      <c r="O9" s="32">
        <v>0.33333333333333331</v>
      </c>
      <c r="P9" s="32">
        <v>0.5</v>
      </c>
      <c r="Q9" s="33">
        <f>($P9-$O9)-_xlfn.XLOOKUP(tblAlocacao[[#This Row],[TURMA]],tblTurmas[CODIGO_TURMA],tblTurmas[INTERVALO],"")</f>
        <v>0.15625000000000003</v>
      </c>
      <c r="R9">
        <v>15</v>
      </c>
      <c r="S9" t="s">
        <v>191</v>
      </c>
      <c r="T9" t="s">
        <v>146</v>
      </c>
    </row>
    <row r="10" spans="1:20" x14ac:dyDescent="0.35">
      <c r="A10">
        <v>20</v>
      </c>
      <c r="B10" s="2">
        <v>46107</v>
      </c>
      <c r="C10">
        <f>_xlfn.XLOOKUP(tblAlocacao[[#This Row],[TURMA]],tblTurmas[CODIGO_TURMA],tblTurmas[ID_TURMA],"")</f>
        <v>3</v>
      </c>
      <c r="D10" t="s">
        <v>202</v>
      </c>
      <c r="E10">
        <v>2</v>
      </c>
      <c r="F10" s="40" t="s">
        <v>219</v>
      </c>
      <c r="G10">
        <f>_xlfn.XLOOKUP(tblAlocacao[[#This Row],[Nome do Instrutor]],tblInstrutores[NOME_COMPLETO],tblInstrutores[ID],"")</f>
        <v>9</v>
      </c>
      <c r="H10" t="str">
        <f>_xlfn.XLOOKUP(tblAlocacao[[#This Row],[TURMA]],tblTurmas[CODIGO_TURMA],tblTurmas[INSTRUTOR],"")</f>
        <v>Raphael Barreto de Oliveira</v>
      </c>
      <c r="I10">
        <f>_xlfn.XLOOKUP(tblAlocacao[[#This Row],[AMBIENTE]],tblAmbientes[NOME_AMBIENTE],tblAmbientes[ID],"")</f>
        <v>8</v>
      </c>
      <c r="J10" t="s">
        <v>110</v>
      </c>
      <c r="K10">
        <f>_xlfn.XLOOKUP(tblAlocacao[[#This Row],['#VALOR!]],tblTurnos[TURNO],tblTurnos[ID_TURNO],"")</f>
        <v>1</v>
      </c>
      <c r="L10" t="str">
        <f>_xlfn.XLOOKUP(tblAlocacao[[#This Row],[TURMA]],tblTurmas[CODIGO_TURMA],tblTurmas[TURNO],"")</f>
        <v>MANHÃ</v>
      </c>
      <c r="M10">
        <f>_xlfn.XLOOKUP(tblAlocacao[[#This Row],[MODALIDADE]], tblModalidades[MODALIDADE], tblModalidades[ID_MODALIDADE],"")</f>
        <v>1</v>
      </c>
      <c r="N10" t="s">
        <v>18</v>
      </c>
      <c r="O10" s="32">
        <v>0.33333333333333331</v>
      </c>
      <c r="P10" s="32">
        <v>0.5</v>
      </c>
      <c r="Q10" s="33">
        <f>($P10-$O10)-_xlfn.XLOOKUP(tblAlocacao[[#This Row],[TURMA]],tblTurmas[CODIGO_TURMA],tblTurmas[INTERVALO],"")</f>
        <v>0.15625000000000003</v>
      </c>
      <c r="R10">
        <v>15</v>
      </c>
      <c r="S10" t="s">
        <v>191</v>
      </c>
      <c r="T10" t="s">
        <v>146</v>
      </c>
    </row>
    <row r="11" spans="1:20" x14ac:dyDescent="0.35">
      <c r="A11">
        <v>1</v>
      </c>
      <c r="B11" s="2">
        <v>46091</v>
      </c>
      <c r="C11">
        <f>_xlfn.XLOOKUP(tblAlocacao[[#This Row],[TURMA]],tblTurmas[CODIGO_TURMA],tblTurmas[ID_TURMA],"")</f>
        <v>2</v>
      </c>
      <c r="D11" t="s">
        <v>193</v>
      </c>
      <c r="E11" s="40">
        <f>_xlfn.XLOOKUP(tblAlocacao[[#This Row],[DISCIPLINA]],tblDisciplinas[NOME_DISCIPLINA],tblDisciplinas[ID_DISCIPLINA],"")</f>
        <v>1</v>
      </c>
      <c r="F11" s="40" t="s">
        <v>196</v>
      </c>
      <c r="G11">
        <f>_xlfn.XLOOKUP(tblAlocacao[[#This Row],[Nome do Instrutor]],tblInstrutores[NOME_COMPLETO],tblInstrutores[ID],"")</f>
        <v>2</v>
      </c>
      <c r="H11" t="str">
        <f>_xlfn.XLOOKUP(tblAlocacao[[#This Row],[TURMA]],tblTurmas[CODIGO_TURMA],tblTurmas[INSTRUTOR],"")</f>
        <v>Deilson dos Santos de Aquino</v>
      </c>
      <c r="I11">
        <f>_xlfn.XLOOKUP(tblAlocacao[[#This Row],[AMBIENTE]],tblAmbientes[NOME_AMBIENTE],tblAmbientes[ID],"")</f>
        <v>4</v>
      </c>
      <c r="J11" t="s">
        <v>106</v>
      </c>
      <c r="K11">
        <f>_xlfn.XLOOKUP(tblAlocacao[[#This Row],['#VALOR!]],tblTurnos[TURNO],tblTurnos[ID_TURNO],"")</f>
        <v>1</v>
      </c>
      <c r="L11" t="str">
        <f>_xlfn.XLOOKUP(tblAlocacao[[#This Row],[TURMA]],tblTurmas[CODIGO_TURMA],tblTurmas[TURNO],"")</f>
        <v>MANHÃ</v>
      </c>
      <c r="M11">
        <f>_xlfn.XLOOKUP(tblAlocacao[[#This Row],[MODALIDADE]], tblModalidades[MODALIDADE], tblModalidades[ID_MODALIDADE],"")</f>
        <v>1</v>
      </c>
      <c r="N11" t="s">
        <v>18</v>
      </c>
      <c r="O11" s="32">
        <v>0.375</v>
      </c>
      <c r="P11" s="32">
        <v>0.66666666666666663</v>
      </c>
      <c r="Q11" s="33">
        <f>($P11-$O11)-_xlfn.XLOOKUP(tblAlocacao[[#This Row],[TURMA]],tblTurmas[CODIGO_TURMA],tblTurmas[INTERVALO],"")</f>
        <v>0.23958333333333329</v>
      </c>
      <c r="R11">
        <v>22</v>
      </c>
      <c r="S11" t="s">
        <v>191</v>
      </c>
      <c r="T11" t="s">
        <v>192</v>
      </c>
    </row>
    <row r="12" spans="1:20" x14ac:dyDescent="0.35">
      <c r="A12">
        <v>2</v>
      </c>
      <c r="B12" s="2">
        <v>46092</v>
      </c>
      <c r="C12">
        <f>_xlfn.XLOOKUP(tblAlocacao[[#This Row],[TURMA]],tblTurmas[CODIGO_TURMA],tblTurmas[ID_TURMA],"")</f>
        <v>2</v>
      </c>
      <c r="D12" t="s">
        <v>193</v>
      </c>
      <c r="E12">
        <f>_xlfn.XLOOKUP(tblAlocacao[[#This Row],[DISCIPLINA]],tblDisciplinas[NOME_DISCIPLINA],tblDisciplinas[ID_DISCIPLINA],"")</f>
        <v>1</v>
      </c>
      <c r="F12" s="40" t="s">
        <v>196</v>
      </c>
      <c r="G12">
        <f>_xlfn.XLOOKUP(tblAlocacao[[#This Row],[Nome do Instrutor]],tblInstrutores[NOME_COMPLETO],tblInstrutores[ID],"")</f>
        <v>2</v>
      </c>
      <c r="H12" t="str">
        <f>_xlfn.XLOOKUP(tblAlocacao[[#This Row],[TURMA]],tblTurmas[CODIGO_TURMA],tblTurmas[INSTRUTOR],"")</f>
        <v>Deilson dos Santos de Aquino</v>
      </c>
      <c r="I12">
        <f>_xlfn.XLOOKUP(tblAlocacao[[#This Row],[AMBIENTE]],tblAmbientes[NOME_AMBIENTE],tblAmbientes[ID],"")</f>
        <v>4</v>
      </c>
      <c r="J12" t="s">
        <v>106</v>
      </c>
      <c r="K12">
        <f>_xlfn.XLOOKUP(tblAlocacao[[#This Row],['#VALOR!]],tblTurnos[TURNO],tblTurnos[ID_TURNO],"")</f>
        <v>1</v>
      </c>
      <c r="L12" t="str">
        <f>_xlfn.XLOOKUP(tblAlocacao[[#This Row],[TURMA]],tblTurmas[CODIGO_TURMA],tblTurmas[TURNO],"")</f>
        <v>MANHÃ</v>
      </c>
      <c r="M12">
        <f>_xlfn.XLOOKUP(tblAlocacao[[#This Row],[MODALIDADE]], tblModalidades[MODALIDADE], tblModalidades[ID_MODALIDADE],"")</f>
        <v>1</v>
      </c>
      <c r="N12" t="s">
        <v>18</v>
      </c>
      <c r="O12" s="32">
        <v>0.375</v>
      </c>
      <c r="P12" s="32">
        <v>0.66666666666666663</v>
      </c>
      <c r="Q12" s="33">
        <f>($P12-$O12)-_xlfn.XLOOKUP(tblAlocacao[[#This Row],[TURMA]],tblTurmas[CODIGO_TURMA],tblTurmas[INTERVALO],"")</f>
        <v>0.23958333333333329</v>
      </c>
      <c r="R12">
        <v>22</v>
      </c>
      <c r="S12" t="s">
        <v>191</v>
      </c>
      <c r="T12" t="s">
        <v>146</v>
      </c>
    </row>
    <row r="13" spans="1:20" x14ac:dyDescent="0.35">
      <c r="A13">
        <v>3</v>
      </c>
      <c r="B13" s="2">
        <v>46093</v>
      </c>
      <c r="C13">
        <f>_xlfn.XLOOKUP(tblAlocacao[[#This Row],[TURMA]],tblTurmas[CODIGO_TURMA],tblTurmas[ID_TURMA],"")</f>
        <v>2</v>
      </c>
      <c r="D13" t="s">
        <v>193</v>
      </c>
      <c r="E13">
        <f>_xlfn.XLOOKUP(tblAlocacao[[#This Row],[DISCIPLINA]],tblDisciplinas[NOME_DISCIPLINA],tblDisciplinas[ID_DISCIPLINA],"")</f>
        <v>1</v>
      </c>
      <c r="F13" s="40" t="s">
        <v>196</v>
      </c>
      <c r="G13">
        <f>_xlfn.XLOOKUP(tblAlocacao[[#This Row],[Nome do Instrutor]],tblInstrutores[NOME_COMPLETO],tblInstrutores[ID],"")</f>
        <v>2</v>
      </c>
      <c r="H13" t="str">
        <f>_xlfn.XLOOKUP(tblAlocacao[[#This Row],[TURMA]],tblTurmas[CODIGO_TURMA],tblTurmas[INSTRUTOR],"")</f>
        <v>Deilson dos Santos de Aquino</v>
      </c>
      <c r="I13">
        <f>_xlfn.XLOOKUP(tblAlocacao[[#This Row],[AMBIENTE]],tblAmbientes[NOME_AMBIENTE],tblAmbientes[ID],"")</f>
        <v>4</v>
      </c>
      <c r="J13" t="s">
        <v>106</v>
      </c>
      <c r="K13">
        <f>_xlfn.XLOOKUP(tblAlocacao[[#This Row],['#VALOR!]],tblTurnos[TURNO],tblTurnos[ID_TURNO],"")</f>
        <v>1</v>
      </c>
      <c r="L13" t="str">
        <f>_xlfn.XLOOKUP(tblAlocacao[[#This Row],[TURMA]],tblTurmas[CODIGO_TURMA],tblTurmas[TURNO],"")</f>
        <v>MANHÃ</v>
      </c>
      <c r="M13">
        <f>_xlfn.XLOOKUP(tblAlocacao[[#This Row],[MODALIDADE]], tblModalidades[MODALIDADE], tblModalidades[ID_MODALIDADE],"")</f>
        <v>1</v>
      </c>
      <c r="N13" t="s">
        <v>18</v>
      </c>
      <c r="O13" s="32">
        <v>0.375</v>
      </c>
      <c r="P13" s="32">
        <v>0.66666666666666663</v>
      </c>
      <c r="Q13" s="33">
        <f>($P13-$O13)-_xlfn.XLOOKUP(tblAlocacao[[#This Row],[TURMA]],tblTurmas[CODIGO_TURMA],tblTurmas[INTERVALO],"")</f>
        <v>0.23958333333333329</v>
      </c>
      <c r="R13">
        <v>22</v>
      </c>
      <c r="S13" t="s">
        <v>191</v>
      </c>
      <c r="T13" t="s">
        <v>146</v>
      </c>
    </row>
    <row r="14" spans="1:20" x14ac:dyDescent="0.35">
      <c r="A14">
        <v>4</v>
      </c>
      <c r="B14" s="2">
        <v>46097</v>
      </c>
      <c r="C14">
        <f>_xlfn.XLOOKUP(tblAlocacao[[#This Row],[TURMA]],tblTurmas[CODIGO_TURMA],tblTurmas[ID_TURMA],"")</f>
        <v>2</v>
      </c>
      <c r="D14" t="s">
        <v>193</v>
      </c>
      <c r="E14">
        <f>_xlfn.XLOOKUP(tblAlocacao[[#This Row],[DISCIPLINA]],tblDisciplinas[NOME_DISCIPLINA],tblDisciplinas[ID_DISCIPLINA],"")</f>
        <v>1</v>
      </c>
      <c r="F14" s="40" t="s">
        <v>196</v>
      </c>
      <c r="G14">
        <f>_xlfn.XLOOKUP(tblAlocacao[[#This Row],[Nome do Instrutor]],tblInstrutores[NOME_COMPLETO],tblInstrutores[ID],"")</f>
        <v>2</v>
      </c>
      <c r="H14" t="str">
        <f>_xlfn.XLOOKUP(tblAlocacao[[#This Row],[TURMA]],tblTurmas[CODIGO_TURMA],tblTurmas[INSTRUTOR],"")</f>
        <v>Deilson dos Santos de Aquino</v>
      </c>
      <c r="I14">
        <f>_xlfn.XLOOKUP(tblAlocacao[[#This Row],[AMBIENTE]],tblAmbientes[NOME_AMBIENTE],tblAmbientes[ID],"")</f>
        <v>4</v>
      </c>
      <c r="J14" t="s">
        <v>106</v>
      </c>
      <c r="K14">
        <f>_xlfn.XLOOKUP(tblAlocacao[[#This Row],['#VALOR!]],tblTurnos[TURNO],tblTurnos[ID_TURNO],"")</f>
        <v>1</v>
      </c>
      <c r="L14" t="str">
        <f>_xlfn.XLOOKUP(tblAlocacao[[#This Row],[TURMA]],tblTurmas[CODIGO_TURMA],tblTurmas[TURNO],"")</f>
        <v>MANHÃ</v>
      </c>
      <c r="M14">
        <f>_xlfn.XLOOKUP(tblAlocacao[[#This Row],[MODALIDADE]], tblModalidades[MODALIDADE], tblModalidades[ID_MODALIDADE],"")</f>
        <v>1</v>
      </c>
      <c r="N14" t="s">
        <v>18</v>
      </c>
      <c r="O14" s="32">
        <v>0.375</v>
      </c>
      <c r="P14" s="32">
        <v>0.66666666666666663</v>
      </c>
      <c r="Q14" s="33">
        <f>($P14-$O14)-_xlfn.XLOOKUP(tblAlocacao[[#This Row],[TURMA]],tblTurmas[CODIGO_TURMA],tblTurmas[INTERVALO],"")</f>
        <v>0.23958333333333329</v>
      </c>
      <c r="R14">
        <v>21</v>
      </c>
      <c r="S14" t="s">
        <v>191</v>
      </c>
      <c r="T14" t="s">
        <v>146</v>
      </c>
    </row>
    <row r="15" spans="1:20" x14ac:dyDescent="0.35">
      <c r="A15">
        <v>6</v>
      </c>
      <c r="B15" s="2">
        <v>46098</v>
      </c>
      <c r="C15">
        <f>_xlfn.XLOOKUP(tblAlocacao[[#This Row],[TURMA]],tblTurmas[CODIGO_TURMA],tblTurmas[ID_TURMA],"")</f>
        <v>2</v>
      </c>
      <c r="D15" t="s">
        <v>193</v>
      </c>
      <c r="E15">
        <f>_xlfn.XLOOKUP(tblAlocacao[[#This Row],[DISCIPLINA]],tblDisciplinas[NOME_DISCIPLINA],tblDisciplinas[ID_DISCIPLINA],"")</f>
        <v>1</v>
      </c>
      <c r="F15" s="40" t="s">
        <v>196</v>
      </c>
      <c r="G15">
        <f>_xlfn.XLOOKUP(tblAlocacao[[#This Row],[Nome do Instrutor]],tblInstrutores[NOME_COMPLETO],tblInstrutores[ID],"")</f>
        <v>2</v>
      </c>
      <c r="H15" t="str">
        <f>_xlfn.XLOOKUP(tblAlocacao[[#This Row],[TURMA]],tblTurmas[CODIGO_TURMA],tblTurmas[INSTRUTOR],"")</f>
        <v>Deilson dos Santos de Aquino</v>
      </c>
      <c r="I15">
        <f>_xlfn.XLOOKUP(tblAlocacao[[#This Row],[AMBIENTE]],tblAmbientes[NOME_AMBIENTE],tblAmbientes[ID],"")</f>
        <v>4</v>
      </c>
      <c r="J15" t="s">
        <v>106</v>
      </c>
      <c r="K15">
        <f>_xlfn.XLOOKUP(tblAlocacao[[#This Row],['#VALOR!]],tblTurnos[TURNO],tblTurnos[ID_TURNO],"")</f>
        <v>1</v>
      </c>
      <c r="L15" t="str">
        <f>_xlfn.XLOOKUP(tblAlocacao[[#This Row],[TURMA]],tblTurmas[CODIGO_TURMA],tblTurmas[TURNO],"")</f>
        <v>MANHÃ</v>
      </c>
      <c r="M15">
        <f>_xlfn.XLOOKUP(tblAlocacao[[#This Row],[MODALIDADE]], tblModalidades[MODALIDADE], tblModalidades[ID_MODALIDADE],"")</f>
        <v>1</v>
      </c>
      <c r="N15" t="s">
        <v>18</v>
      </c>
      <c r="O15" s="32">
        <v>0.375</v>
      </c>
      <c r="P15" s="32">
        <v>0.66666666666666663</v>
      </c>
      <c r="Q15" s="33">
        <f>($P15-$O15)-_xlfn.XLOOKUP(tblAlocacao[[#This Row],[TURMA]],tblTurmas[CODIGO_TURMA],tblTurmas[INTERVALO],"")</f>
        <v>0.23958333333333329</v>
      </c>
      <c r="R15">
        <v>21</v>
      </c>
      <c r="S15" t="s">
        <v>191</v>
      </c>
      <c r="T15" t="s">
        <v>146</v>
      </c>
    </row>
    <row r="16" spans="1:20" x14ac:dyDescent="0.35">
      <c r="A16">
        <v>8</v>
      </c>
      <c r="B16" s="2">
        <v>46099</v>
      </c>
      <c r="C16">
        <f>_xlfn.XLOOKUP(tblAlocacao[[#This Row],[TURMA]],tblTurmas[CODIGO_TURMA],tblTurmas[ID_TURMA],"")</f>
        <v>2</v>
      </c>
      <c r="D16" t="s">
        <v>193</v>
      </c>
      <c r="E16">
        <f>_xlfn.XLOOKUP(tblAlocacao[[#This Row],[DISCIPLINA]],tblDisciplinas[NOME_DISCIPLINA],tblDisciplinas[ID_DISCIPLINA],"")</f>
        <v>1</v>
      </c>
      <c r="F16" s="40" t="s">
        <v>196</v>
      </c>
      <c r="G16">
        <f>_xlfn.XLOOKUP(tblAlocacao[[#This Row],[Nome do Instrutor]],tblInstrutores[NOME_COMPLETO],tblInstrutores[ID],"")</f>
        <v>2</v>
      </c>
      <c r="H16" t="str">
        <f>_xlfn.XLOOKUP(tblAlocacao[[#This Row],[TURMA]],tblTurmas[CODIGO_TURMA],tblTurmas[INSTRUTOR],"")</f>
        <v>Deilson dos Santos de Aquino</v>
      </c>
      <c r="I16">
        <f>_xlfn.XLOOKUP(tblAlocacao[[#This Row],[AMBIENTE]],tblAmbientes[NOME_AMBIENTE],tblAmbientes[ID],"")</f>
        <v>4</v>
      </c>
      <c r="J16" t="s">
        <v>106</v>
      </c>
      <c r="K16">
        <f>_xlfn.XLOOKUP(tblAlocacao[[#This Row],['#VALOR!]],tblTurnos[TURNO],tblTurnos[ID_TURNO],"")</f>
        <v>1</v>
      </c>
      <c r="L16" t="str">
        <f>_xlfn.XLOOKUP(tblAlocacao[[#This Row],[TURMA]],tblTurmas[CODIGO_TURMA],tblTurmas[TURNO],"")</f>
        <v>MANHÃ</v>
      </c>
      <c r="M16">
        <f>_xlfn.XLOOKUP(tblAlocacao[[#This Row],[MODALIDADE]], tblModalidades[MODALIDADE], tblModalidades[ID_MODALIDADE],"")</f>
        <v>1</v>
      </c>
      <c r="N16" t="s">
        <v>18</v>
      </c>
      <c r="O16" s="32">
        <v>0.375</v>
      </c>
      <c r="P16" s="32">
        <v>0.66666666666666663</v>
      </c>
      <c r="Q16" s="33">
        <f>($P16-$O16)-_xlfn.XLOOKUP(tblAlocacao[[#This Row],[TURMA]],tblTurmas[CODIGO_TURMA],tblTurmas[INTERVALO],"")</f>
        <v>0.23958333333333329</v>
      </c>
      <c r="R16">
        <v>21</v>
      </c>
      <c r="S16" t="s">
        <v>191</v>
      </c>
      <c r="T16" t="s">
        <v>146</v>
      </c>
    </row>
    <row r="17" spans="1:20" x14ac:dyDescent="0.35">
      <c r="A17">
        <v>10</v>
      </c>
      <c r="B17" s="2">
        <v>46100</v>
      </c>
      <c r="C17">
        <f>_xlfn.XLOOKUP(tblAlocacao[[#This Row],[TURMA]],tblTurmas[CODIGO_TURMA],tblTurmas[ID_TURMA],"")</f>
        <v>2</v>
      </c>
      <c r="D17" t="s">
        <v>193</v>
      </c>
      <c r="E17">
        <f>_xlfn.XLOOKUP(tblAlocacao[[#This Row],[DISCIPLINA]],tblDisciplinas[NOME_DISCIPLINA],tblDisciplinas[ID_DISCIPLINA],"")</f>
        <v>2</v>
      </c>
      <c r="F17" s="40" t="s">
        <v>207</v>
      </c>
      <c r="G17">
        <f>_xlfn.XLOOKUP(tblAlocacao[[#This Row],[Nome do Instrutor]],tblInstrutores[NOME_COMPLETO],tblInstrutores[ID],"")</f>
        <v>2</v>
      </c>
      <c r="H17" t="str">
        <f>_xlfn.XLOOKUP(tblAlocacao[[#This Row],[TURMA]],tblTurmas[CODIGO_TURMA],tblTurmas[INSTRUTOR],"")</f>
        <v>Deilson dos Santos de Aquino</v>
      </c>
      <c r="I17">
        <f>_xlfn.XLOOKUP(tblAlocacao[[#This Row],[AMBIENTE]],tblAmbientes[NOME_AMBIENTE],tblAmbientes[ID],"")</f>
        <v>4</v>
      </c>
      <c r="J17" t="s">
        <v>106</v>
      </c>
      <c r="K17">
        <f>_xlfn.XLOOKUP(tblAlocacao[[#This Row],['#VALOR!]],tblTurnos[TURNO],tblTurnos[ID_TURNO],"")</f>
        <v>1</v>
      </c>
      <c r="L17" t="str">
        <f>_xlfn.XLOOKUP(tblAlocacao[[#This Row],[TURMA]],tblTurmas[CODIGO_TURMA],tblTurmas[TURNO],"")</f>
        <v>MANHÃ</v>
      </c>
      <c r="M17">
        <f>_xlfn.XLOOKUP(tblAlocacao[[#This Row],[MODALIDADE]], tblModalidades[MODALIDADE], tblModalidades[ID_MODALIDADE],"")</f>
        <v>1</v>
      </c>
      <c r="N17" t="s">
        <v>18</v>
      </c>
      <c r="O17" s="32">
        <v>0.375</v>
      </c>
      <c r="P17" s="32">
        <v>0.66666666666666663</v>
      </c>
      <c r="Q17" s="33">
        <f>($P17-$O17)-_xlfn.XLOOKUP(tblAlocacao[[#This Row],[TURMA]],tblTurmas[CODIGO_TURMA],tblTurmas[INTERVALO],"")</f>
        <v>0.23958333333333329</v>
      </c>
      <c r="R17">
        <v>21</v>
      </c>
      <c r="S17" t="s">
        <v>191</v>
      </c>
      <c r="T17" t="s">
        <v>146</v>
      </c>
    </row>
    <row r="18" spans="1:20" x14ac:dyDescent="0.35">
      <c r="A18">
        <v>13</v>
      </c>
      <c r="B18" s="2">
        <v>46104</v>
      </c>
      <c r="C18">
        <f>_xlfn.XLOOKUP(tblAlocacao[[#This Row],[TURMA]],tblTurmas[CODIGO_TURMA],tblTurmas[ID_TURMA],"")</f>
        <v>2</v>
      </c>
      <c r="D18" t="s">
        <v>193</v>
      </c>
      <c r="E18">
        <f>_xlfn.XLOOKUP(tblAlocacao[[#This Row],[DISCIPLINA]],tblDisciplinas[NOME_DISCIPLINA],tblDisciplinas[ID_DISCIPLINA],"")</f>
        <v>2</v>
      </c>
      <c r="F18" s="40" t="s">
        <v>207</v>
      </c>
      <c r="G18">
        <f>_xlfn.XLOOKUP(tblAlocacao[[#This Row],[Nome do Instrutor]],tblInstrutores[NOME_COMPLETO],tblInstrutores[ID],"")</f>
        <v>2</v>
      </c>
      <c r="H18" t="str">
        <f>_xlfn.XLOOKUP(tblAlocacao[[#This Row],[TURMA]],tblTurmas[CODIGO_TURMA],tblTurmas[INSTRUTOR],"")</f>
        <v>Deilson dos Santos de Aquino</v>
      </c>
      <c r="I18">
        <f>_xlfn.XLOOKUP(tblAlocacao[[#This Row],[AMBIENTE]],tblAmbientes[NOME_AMBIENTE],tblAmbientes[ID],"")</f>
        <v>4</v>
      </c>
      <c r="J18" t="s">
        <v>106</v>
      </c>
      <c r="K18">
        <f>_xlfn.XLOOKUP(tblAlocacao[[#This Row],['#VALOR!]],tblTurnos[TURNO],tblTurnos[ID_TURNO],"")</f>
        <v>1</v>
      </c>
      <c r="L18" t="str">
        <f>_xlfn.XLOOKUP(tblAlocacao[[#This Row],[TURMA]],tblTurmas[CODIGO_TURMA],tblTurmas[TURNO],"")</f>
        <v>MANHÃ</v>
      </c>
      <c r="M18">
        <f>_xlfn.XLOOKUP(tblAlocacao[[#This Row],[MODALIDADE]], tblModalidades[MODALIDADE], tblModalidades[ID_MODALIDADE],"")</f>
        <v>1</v>
      </c>
      <c r="N18" t="s">
        <v>18</v>
      </c>
      <c r="O18" s="32">
        <v>0.375</v>
      </c>
      <c r="P18" s="32">
        <v>0.66666666666666663</v>
      </c>
      <c r="Q18" s="33">
        <f>($P18-$O18)-_xlfn.XLOOKUP(tblAlocacao[[#This Row],[TURMA]],tblTurmas[CODIGO_TURMA],tblTurmas[INTERVALO],"")</f>
        <v>0.23958333333333329</v>
      </c>
      <c r="R18">
        <v>22</v>
      </c>
      <c r="S18" t="s">
        <v>191</v>
      </c>
      <c r="T18" t="s">
        <v>146</v>
      </c>
    </row>
    <row r="19" spans="1:20" x14ac:dyDescent="0.35">
      <c r="A19">
        <v>15</v>
      </c>
      <c r="B19" s="2">
        <v>46105</v>
      </c>
      <c r="C19">
        <f>_xlfn.XLOOKUP(tblAlocacao[[#This Row],[TURMA]],tblTurmas[CODIGO_TURMA],tblTurmas[ID_TURMA],"")</f>
        <v>2</v>
      </c>
      <c r="D19" t="s">
        <v>193</v>
      </c>
      <c r="E19">
        <f>_xlfn.XLOOKUP(tblAlocacao[[#This Row],[DISCIPLINA]],tblDisciplinas[NOME_DISCIPLINA],tblDisciplinas[ID_DISCIPLINA],"")</f>
        <v>2</v>
      </c>
      <c r="F19" s="40" t="s">
        <v>207</v>
      </c>
      <c r="G19">
        <f>_xlfn.XLOOKUP(tblAlocacao[[#This Row],[Nome do Instrutor]],tblInstrutores[NOME_COMPLETO],tblInstrutores[ID],"")</f>
        <v>2</v>
      </c>
      <c r="H19" t="str">
        <f>_xlfn.XLOOKUP(tblAlocacao[[#This Row],[TURMA]],tblTurmas[CODIGO_TURMA],tblTurmas[INSTRUTOR],"")</f>
        <v>Deilson dos Santos de Aquino</v>
      </c>
      <c r="I19">
        <f>_xlfn.XLOOKUP(tblAlocacao[[#This Row],[AMBIENTE]],tblAmbientes[NOME_AMBIENTE],tblAmbientes[ID],"")</f>
        <v>4</v>
      </c>
      <c r="J19" t="s">
        <v>106</v>
      </c>
      <c r="K19">
        <f>_xlfn.XLOOKUP(tblAlocacao[[#This Row],['#VALOR!]],tblTurnos[TURNO],tblTurnos[ID_TURNO],"")</f>
        <v>1</v>
      </c>
      <c r="L19" t="str">
        <f>_xlfn.XLOOKUP(tblAlocacao[[#This Row],[TURMA]],tblTurmas[CODIGO_TURMA],tblTurmas[TURNO],"")</f>
        <v>MANHÃ</v>
      </c>
      <c r="M19">
        <f>_xlfn.XLOOKUP(tblAlocacao[[#This Row],[MODALIDADE]], tblModalidades[MODALIDADE], tblModalidades[ID_MODALIDADE],"")</f>
        <v>1</v>
      </c>
      <c r="N19" t="s">
        <v>18</v>
      </c>
      <c r="O19" s="32">
        <v>0.375</v>
      </c>
      <c r="P19" s="32">
        <v>0.66666666666666663</v>
      </c>
      <c r="Q19" s="33">
        <f>($P19-$O19)-_xlfn.XLOOKUP(tblAlocacao[[#This Row],[TURMA]],tblTurmas[CODIGO_TURMA],tblTurmas[INTERVALO],"")</f>
        <v>0.23958333333333329</v>
      </c>
      <c r="R19">
        <v>20</v>
      </c>
      <c r="S19" t="s">
        <v>191</v>
      </c>
      <c r="T19" t="s">
        <v>146</v>
      </c>
    </row>
    <row r="20" spans="1:20" x14ac:dyDescent="0.35">
      <c r="A20">
        <v>16</v>
      </c>
      <c r="B20" s="2">
        <v>46106</v>
      </c>
      <c r="C20">
        <f>_xlfn.XLOOKUP(tblAlocacao[[#This Row],[TURMA]],tblTurmas[CODIGO_TURMA],tblTurmas[ID_TURMA],"")</f>
        <v>2</v>
      </c>
      <c r="D20" t="s">
        <v>193</v>
      </c>
      <c r="E20">
        <f>_xlfn.XLOOKUP(tblAlocacao[[#This Row],[DISCIPLINA]],tblDisciplinas[NOME_DISCIPLINA],tblDisciplinas[ID_DISCIPLINA],"")</f>
        <v>2</v>
      </c>
      <c r="F20" s="40" t="s">
        <v>207</v>
      </c>
      <c r="G20">
        <f>_xlfn.XLOOKUP(tblAlocacao[[#This Row],[Nome do Instrutor]],tblInstrutores[NOME_COMPLETO],tblInstrutores[ID],"")</f>
        <v>2</v>
      </c>
      <c r="H20" t="str">
        <f>_xlfn.XLOOKUP(tblAlocacao[[#This Row],[TURMA]],tblTurmas[CODIGO_TURMA],tblTurmas[INSTRUTOR],"")</f>
        <v>Deilson dos Santos de Aquino</v>
      </c>
      <c r="I20">
        <f>_xlfn.XLOOKUP(tblAlocacao[[#This Row],[AMBIENTE]],tblAmbientes[NOME_AMBIENTE],tblAmbientes[ID],"")</f>
        <v>4</v>
      </c>
      <c r="J20" t="s">
        <v>106</v>
      </c>
      <c r="K20">
        <f>_xlfn.XLOOKUP(tblAlocacao[[#This Row],['#VALOR!]],tblTurnos[TURNO],tblTurnos[ID_TURNO],"")</f>
        <v>1</v>
      </c>
      <c r="L20" t="str">
        <f>_xlfn.XLOOKUP(tblAlocacao[[#This Row],[TURMA]],tblTurmas[CODIGO_TURMA],tblTurmas[TURNO],"")</f>
        <v>MANHÃ</v>
      </c>
      <c r="M20">
        <f>_xlfn.XLOOKUP(tblAlocacao[[#This Row],[MODALIDADE]], tblModalidades[MODALIDADE], tblModalidades[ID_MODALIDADE],"")</f>
        <v>1</v>
      </c>
      <c r="N20" t="s">
        <v>18</v>
      </c>
      <c r="O20" s="32">
        <v>0.375</v>
      </c>
      <c r="P20" s="32">
        <v>0.66666666666666663</v>
      </c>
      <c r="Q20" s="33">
        <f>($P20-$O20)-_xlfn.XLOOKUP(tblAlocacao[[#This Row],[TURMA]],tblTurmas[CODIGO_TURMA],tblTurmas[INTERVALO],"")</f>
        <v>0.23958333333333329</v>
      </c>
      <c r="R20">
        <v>22</v>
      </c>
      <c r="S20" t="s">
        <v>191</v>
      </c>
      <c r="T20" t="s">
        <v>146</v>
      </c>
    </row>
    <row r="21" spans="1:20" x14ac:dyDescent="0.35">
      <c r="A21">
        <v>17</v>
      </c>
      <c r="B21" s="2">
        <v>46107</v>
      </c>
      <c r="C21">
        <f>_xlfn.XLOOKUP(tblAlocacao[[#This Row],[TURMA]],tblTurmas[CODIGO_TURMA],tblTurmas[ID_TURMA],"")</f>
        <v>2</v>
      </c>
      <c r="D21" t="s">
        <v>193</v>
      </c>
      <c r="E21">
        <f>_xlfn.XLOOKUP(tblAlocacao[[#This Row],[DISCIPLINA]],tblDisciplinas[NOME_DISCIPLINA],tblDisciplinas[ID_DISCIPLINA],"")</f>
        <v>2</v>
      </c>
      <c r="F21" s="40" t="s">
        <v>207</v>
      </c>
      <c r="G21">
        <f>_xlfn.XLOOKUP(tblAlocacao[[#This Row],[Nome do Instrutor]],tblInstrutores[NOME_COMPLETO],tblInstrutores[ID],"")</f>
        <v>2</v>
      </c>
      <c r="H21" t="str">
        <f>_xlfn.XLOOKUP(tblAlocacao[[#This Row],[TURMA]],tblTurmas[CODIGO_TURMA],tblTurmas[INSTRUTOR],"")</f>
        <v>Deilson dos Santos de Aquino</v>
      </c>
      <c r="I21">
        <f>_xlfn.XLOOKUP(tblAlocacao[[#This Row],[AMBIENTE]],tblAmbientes[NOME_AMBIENTE],tblAmbientes[ID],"")</f>
        <v>4</v>
      </c>
      <c r="J21" t="s">
        <v>106</v>
      </c>
      <c r="K21">
        <f>_xlfn.XLOOKUP(tblAlocacao[[#This Row],['#VALOR!]],tblTurnos[TURNO],tblTurnos[ID_TURNO],"")</f>
        <v>1</v>
      </c>
      <c r="L21" t="str">
        <f>_xlfn.XLOOKUP(tblAlocacao[[#This Row],[TURMA]],tblTurmas[CODIGO_TURMA],tblTurmas[TURNO],"")</f>
        <v>MANHÃ</v>
      </c>
      <c r="M21">
        <f>_xlfn.XLOOKUP(tblAlocacao[[#This Row],[MODALIDADE]], tblModalidades[MODALIDADE], tblModalidades[ID_MODALIDADE],"")</f>
        <v>1</v>
      </c>
      <c r="N21" t="s">
        <v>18</v>
      </c>
      <c r="O21" s="32">
        <v>0.375</v>
      </c>
      <c r="P21" s="32">
        <v>0.66666666666666663</v>
      </c>
      <c r="Q21" s="33">
        <f>($P21-$O21)-_xlfn.XLOOKUP(tblAlocacao[[#This Row],[TURMA]],tblTurmas[CODIGO_TURMA],tblTurmas[INTERVALO],"")</f>
        <v>0.23958333333333329</v>
      </c>
      <c r="R21">
        <v>22</v>
      </c>
      <c r="S21" t="s">
        <v>191</v>
      </c>
      <c r="T21" t="s">
        <v>146</v>
      </c>
    </row>
    <row r="22" spans="1:20" x14ac:dyDescent="0.35">
      <c r="A22">
        <v>21</v>
      </c>
      <c r="B22" s="2">
        <v>46111</v>
      </c>
      <c r="C22">
        <f>_xlfn.XLOOKUP(tblAlocacao[[#This Row],[TURMA]],tblTurmas[CODIGO_TURMA],tblTurmas[ID_TURMA],"")</f>
        <v>2</v>
      </c>
      <c r="D22" t="s">
        <v>193</v>
      </c>
      <c r="E22">
        <f>_xlfn.XLOOKUP(tblAlocacao[[#This Row],[DISCIPLINA]],tblDisciplinas[NOME_DISCIPLINA],tblDisciplinas[ID_DISCIPLINA],"")</f>
        <v>2</v>
      </c>
      <c r="F22" s="40" t="s">
        <v>207</v>
      </c>
      <c r="G22">
        <f>_xlfn.XLOOKUP(tblAlocacao[[#This Row],[Nome do Instrutor]],tblInstrutores[NOME_COMPLETO],tblInstrutores[ID],"")</f>
        <v>2</v>
      </c>
      <c r="H22" t="str">
        <f>_xlfn.XLOOKUP(tblAlocacao[[#This Row],[TURMA]],tblTurmas[CODIGO_TURMA],tblTurmas[INSTRUTOR],"")</f>
        <v>Deilson dos Santos de Aquino</v>
      </c>
      <c r="I22">
        <f>_xlfn.XLOOKUP(tblAlocacao[[#This Row],[AMBIENTE]],tblAmbientes[NOME_AMBIENTE],tblAmbientes[ID],"")</f>
        <v>4</v>
      </c>
      <c r="J22" t="s">
        <v>106</v>
      </c>
      <c r="K22">
        <f>_xlfn.XLOOKUP(tblAlocacao[[#This Row],['#VALOR!]],tblTurnos[TURNO],tblTurnos[ID_TURNO],"")</f>
        <v>1</v>
      </c>
      <c r="L22" t="str">
        <f>_xlfn.XLOOKUP(tblAlocacao[[#This Row],[TURMA]],tblTurmas[CODIGO_TURMA],tblTurmas[TURNO],"")</f>
        <v>MANHÃ</v>
      </c>
      <c r="M22">
        <f>_xlfn.XLOOKUP(tblAlocacao[[#This Row],[MODALIDADE]], tblModalidades[MODALIDADE], tblModalidades[ID_MODALIDADE],"")</f>
        <v>1</v>
      </c>
      <c r="N22" t="s">
        <v>18</v>
      </c>
      <c r="O22" s="32">
        <v>0.375</v>
      </c>
      <c r="P22" s="32">
        <v>0.66666666666666663</v>
      </c>
      <c r="Q22" s="33">
        <f>($P22-$O22)-_xlfn.XLOOKUP(tblAlocacao[[#This Row],[TURMA]],tblTurmas[CODIGO_TURMA],tblTurmas[INTERVALO],"")</f>
        <v>0.23958333333333329</v>
      </c>
      <c r="R22">
        <v>21</v>
      </c>
      <c r="S22" t="s">
        <v>191</v>
      </c>
      <c r="T22" t="s">
        <v>146</v>
      </c>
    </row>
    <row r="23" spans="1:20" x14ac:dyDescent="0.35">
      <c r="A23">
        <v>22</v>
      </c>
      <c r="B23" s="2">
        <v>46108</v>
      </c>
      <c r="C23">
        <f>_xlfn.XLOOKUP(tblAlocacao[[#This Row],[TURMA]],tblTurmas[CODIGO_TURMA],tblTurmas[ID_TURMA],"")</f>
        <v>3</v>
      </c>
      <c r="D23" t="s">
        <v>202</v>
      </c>
      <c r="E23">
        <f>_xlfn.XLOOKUP(tblAlocacao[[#This Row],[DISCIPLINA]],tblDisciplinas[NOME_DISCIPLINA],tblDisciplinas[ID_DISCIPLINA],"")</f>
        <v>11</v>
      </c>
      <c r="F23" s="40" t="s">
        <v>219</v>
      </c>
      <c r="G23">
        <f>_xlfn.XLOOKUP(tblAlocacao[[#This Row],[Nome do Instrutor]],tblInstrutores[NOME_COMPLETO],tblInstrutores[ID],"")</f>
        <v>9</v>
      </c>
      <c r="H23" t="str">
        <f>_xlfn.XLOOKUP(tblAlocacao[[#This Row],[TURMA]],tblTurmas[CODIGO_TURMA],tblTurmas[INSTRUTOR],"")</f>
        <v>Raphael Barreto de Oliveira</v>
      </c>
      <c r="I23">
        <f>_xlfn.XLOOKUP(tblAlocacao[[#This Row],[AMBIENTE]],tblAmbientes[NOME_AMBIENTE],tblAmbientes[ID],"")</f>
        <v>4</v>
      </c>
      <c r="J23" t="s">
        <v>106</v>
      </c>
      <c r="K23">
        <f>_xlfn.XLOOKUP(tblAlocacao[[#This Row],['#VALOR!]],tblTurnos[TURNO],tblTurnos[ID_TURNO],"")</f>
        <v>1</v>
      </c>
      <c r="L23" t="str">
        <f>_xlfn.XLOOKUP(tblAlocacao[[#This Row],[TURMA]],tblTurmas[CODIGO_TURMA],tblTurmas[TURNO],"")</f>
        <v>MANHÃ</v>
      </c>
      <c r="M23">
        <f>_xlfn.XLOOKUP(tblAlocacao[[#This Row],[MODALIDADE]], tblModalidades[MODALIDADE], tblModalidades[ID_MODALIDADE],"")</f>
        <v>1</v>
      </c>
      <c r="N23" t="s">
        <v>18</v>
      </c>
      <c r="O23" s="32">
        <v>0.33333333333333331</v>
      </c>
      <c r="P23" s="32">
        <v>0.5</v>
      </c>
      <c r="Q23" s="33">
        <f>($P23-$O23)-_xlfn.XLOOKUP(tblAlocacao[[#This Row],[TURMA]],tblTurmas[CODIGO_TURMA],tblTurmas[INTERVALO],"")</f>
        <v>0.15625000000000003</v>
      </c>
      <c r="R23">
        <v>15</v>
      </c>
      <c r="S23" t="s">
        <v>191</v>
      </c>
      <c r="T23" t="s">
        <v>146</v>
      </c>
    </row>
    <row r="24" spans="1:20" x14ac:dyDescent="0.35">
      <c r="A24">
        <v>23</v>
      </c>
      <c r="B24" s="2"/>
      <c r="C24" t="str">
        <f>_xlfn.XLOOKUP(tblAlocacao[[#This Row],[TURMA]],tblTurmas[CODIGO_TURMA],tblTurmas[ID_TURMA],"")</f>
        <v/>
      </c>
      <c r="E24" t="str">
        <f>_xlfn.XLOOKUP(tblAlocacao[[#This Row],[DISCIPLINA]],tblDisciplinas[NOME_DISCIPLINA],tblDisciplinas[ID_DISCIPLINA],"")</f>
        <v/>
      </c>
      <c r="F24" s="40"/>
      <c r="G24" t="str">
        <f>_xlfn.XLOOKUP(tblAlocacao[[#This Row],[Nome do Instrutor]],tblInstrutores[NOME_COMPLETO],tblInstrutores[ID],"")</f>
        <v/>
      </c>
      <c r="H24" t="str">
        <f>_xlfn.XLOOKUP(tblAlocacao[[#This Row],[TURMA]],tblTurmas[CODIGO_TURMA],tblTurmas[INSTRUTOR],"")</f>
        <v/>
      </c>
      <c r="I24" t="str">
        <f>_xlfn.XLOOKUP(tblAlocacao[[#This Row],[AMBIENTE]],tblAmbientes[NOME_AMBIENTE],tblAmbientes[ID],"")</f>
        <v/>
      </c>
      <c r="K24" t="str">
        <f>_xlfn.XLOOKUP(tblAlocacao[[#This Row],['#VALOR!]],tblTurnos[TURNO],tblTurnos[ID_TURNO],"")</f>
        <v/>
      </c>
      <c r="L24" t="str">
        <f>_xlfn.XLOOKUP(tblAlocacao[[#This Row],[TURMA]],tblTurmas[CODIGO_TURMA],tblTurmas[TURNO],"")</f>
        <v/>
      </c>
      <c r="M24" t="str">
        <f>_xlfn.XLOOKUP(tblAlocacao[[#This Row],[MODALIDADE]], tblModalidades[MODALIDADE], tblModalidades[ID_MODALIDADE],"")</f>
        <v/>
      </c>
      <c r="O24" s="32"/>
      <c r="P24" s="32"/>
      <c r="Q24" s="33" t="e">
        <f>($P24-$O24)-_xlfn.XLOOKUP(tblAlocacao[[#This Row],[TURMA]],tblTurmas[CODIGO_TURMA],tblTurmas[INTERVALO],"")</f>
        <v>#VALUE!</v>
      </c>
    </row>
    <row r="25" spans="1:20" x14ac:dyDescent="0.35">
      <c r="A25">
        <v>24</v>
      </c>
      <c r="B25" s="2"/>
      <c r="C25" t="str">
        <f>_xlfn.XLOOKUP(tblAlocacao[[#This Row],[TURMA]],tblTurmas[CODIGO_TURMA],tblTurmas[ID_TURMA],"")</f>
        <v/>
      </c>
      <c r="E25" t="str">
        <f>_xlfn.XLOOKUP(tblAlocacao[[#This Row],[DISCIPLINA]],tblDisciplinas[NOME_DISCIPLINA],tblDisciplinas[ID_DISCIPLINA],"")</f>
        <v/>
      </c>
      <c r="F25" s="40"/>
      <c r="G25" t="str">
        <f>_xlfn.XLOOKUP(tblAlocacao[[#This Row],[Nome do Instrutor]],tblInstrutores[NOME_COMPLETO],tblInstrutores[ID],"")</f>
        <v/>
      </c>
      <c r="H25" t="str">
        <f>_xlfn.XLOOKUP(tblAlocacao[[#This Row],[TURMA]],tblTurmas[CODIGO_TURMA],tblTurmas[INSTRUTOR],"")</f>
        <v/>
      </c>
      <c r="I25" t="str">
        <f>_xlfn.XLOOKUP(tblAlocacao[[#This Row],[AMBIENTE]],tblAmbientes[NOME_AMBIENTE],tblAmbientes[ID],"")</f>
        <v/>
      </c>
      <c r="K25" t="str">
        <f>_xlfn.XLOOKUP(tblAlocacao[[#This Row],['#VALOR!]],tblTurnos[TURNO],tblTurnos[ID_TURNO],"")</f>
        <v/>
      </c>
      <c r="L25" t="str">
        <f>_xlfn.XLOOKUP(tblAlocacao[[#This Row],[TURMA]],tblTurmas[CODIGO_TURMA],tblTurmas[TURNO],"")</f>
        <v/>
      </c>
      <c r="M25" t="str">
        <f>_xlfn.XLOOKUP(tblAlocacao[[#This Row],[MODALIDADE]], tblModalidades[MODALIDADE], tblModalidades[ID_MODALIDADE],"")</f>
        <v/>
      </c>
      <c r="O25" s="32"/>
      <c r="P25" s="32"/>
      <c r="Q25" s="33" t="e">
        <f>($P25-$O25)-_xlfn.XLOOKUP(tblAlocacao[[#This Row],[TURMA]],tblTurmas[CODIGO_TURMA],tblTurmas[INTERVALO],"")</f>
        <v>#VALUE!</v>
      </c>
    </row>
    <row r="26" spans="1:20" x14ac:dyDescent="0.35">
      <c r="A26">
        <v>25</v>
      </c>
      <c r="B26" s="2"/>
      <c r="C26" t="str">
        <f>_xlfn.XLOOKUP(tblAlocacao[[#This Row],[TURMA]],tblTurmas[CODIGO_TURMA],tblTurmas[ID_TURMA],"")</f>
        <v/>
      </c>
      <c r="E26" t="str">
        <f>_xlfn.XLOOKUP(tblAlocacao[[#This Row],[DISCIPLINA]],tblDisciplinas[NOME_DISCIPLINA],tblDisciplinas[ID_DISCIPLINA],"")</f>
        <v/>
      </c>
      <c r="F26" s="40"/>
      <c r="G26" t="str">
        <f>_xlfn.XLOOKUP(tblAlocacao[[#This Row],[Nome do Instrutor]],tblInstrutores[NOME_COMPLETO],tblInstrutores[ID],"")</f>
        <v/>
      </c>
      <c r="H26" t="str">
        <f>_xlfn.XLOOKUP(tblAlocacao[[#This Row],[TURMA]],tblTurmas[CODIGO_TURMA],tblTurmas[INSTRUTOR],"")</f>
        <v/>
      </c>
      <c r="I26" t="str">
        <f>_xlfn.XLOOKUP(tblAlocacao[[#This Row],[AMBIENTE]],tblAmbientes[NOME_AMBIENTE],tblAmbientes[ID],"")</f>
        <v/>
      </c>
      <c r="K26" t="str">
        <f>_xlfn.XLOOKUP(tblAlocacao[[#This Row],['#VALOR!]],tblTurnos[TURNO],tblTurnos[ID_TURNO],"")</f>
        <v/>
      </c>
      <c r="L26" t="str">
        <f>_xlfn.XLOOKUP(tblAlocacao[[#This Row],[TURMA]],tblTurmas[CODIGO_TURMA],tblTurmas[TURNO],"")</f>
        <v/>
      </c>
      <c r="M26" t="str">
        <f>_xlfn.XLOOKUP(tblAlocacao[[#This Row],[MODALIDADE]], tblModalidades[MODALIDADE], tblModalidades[ID_MODALIDADE],"")</f>
        <v/>
      </c>
      <c r="O26" s="32"/>
      <c r="P26" s="32"/>
      <c r="Q26" s="33" t="e">
        <f>($P26-$O26)-_xlfn.XLOOKUP(tblAlocacao[[#This Row],[TURMA]],tblTurmas[CODIGO_TURMA],tblTurmas[INTERVALO],"")</f>
        <v>#VALUE!</v>
      </c>
    </row>
    <row r="27" spans="1:20" x14ac:dyDescent="0.35">
      <c r="A27">
        <v>26</v>
      </c>
      <c r="B27" s="2"/>
      <c r="C27" t="str">
        <f>_xlfn.XLOOKUP(tblAlocacao[[#This Row],[TURMA]],tblTurmas[CODIGO_TURMA],tblTurmas[ID_TURMA],"")</f>
        <v/>
      </c>
      <c r="E27" t="str">
        <f>_xlfn.XLOOKUP(tblAlocacao[[#This Row],[DISCIPLINA]],tblDisciplinas[NOME_DISCIPLINA],tblDisciplinas[ID_DISCIPLINA],"")</f>
        <v/>
      </c>
      <c r="F27" s="40"/>
      <c r="G27" t="str">
        <f>_xlfn.XLOOKUP(tblAlocacao[[#This Row],[Nome do Instrutor]],tblInstrutores[NOME_COMPLETO],tblInstrutores[ID],"")</f>
        <v/>
      </c>
      <c r="H27" t="str">
        <f>_xlfn.XLOOKUP(tblAlocacao[[#This Row],[TURMA]],tblTurmas[CODIGO_TURMA],tblTurmas[INSTRUTOR],"")</f>
        <v/>
      </c>
      <c r="I27" t="str">
        <f>_xlfn.XLOOKUP(tblAlocacao[[#This Row],[AMBIENTE]],tblAmbientes[NOME_AMBIENTE],tblAmbientes[ID],"")</f>
        <v/>
      </c>
      <c r="K27" t="str">
        <f>_xlfn.XLOOKUP(tblAlocacao[[#This Row],['#VALOR!]],tblTurnos[TURNO],tblTurnos[ID_TURNO],"")</f>
        <v/>
      </c>
      <c r="L27" t="str">
        <f>_xlfn.XLOOKUP(tblAlocacao[[#This Row],[TURMA]],tblTurmas[CODIGO_TURMA],tblTurmas[TURNO],"")</f>
        <v/>
      </c>
      <c r="M27" t="str">
        <f>_xlfn.XLOOKUP(tblAlocacao[[#This Row],[MODALIDADE]], tblModalidades[MODALIDADE], tblModalidades[ID_MODALIDADE],"")</f>
        <v/>
      </c>
      <c r="O27" s="32"/>
      <c r="P27" s="32"/>
      <c r="Q27" s="33" t="e">
        <f>($P27-$O27)-_xlfn.XLOOKUP(tblAlocacao[[#This Row],[TURMA]],tblTurmas[CODIGO_TURMA],tblTurmas[INTERVALO],"")</f>
        <v>#VALUE!</v>
      </c>
    </row>
    <row r="28" spans="1:20" x14ac:dyDescent="0.35">
      <c r="A28">
        <v>27</v>
      </c>
      <c r="B28" s="2"/>
      <c r="C28" t="str">
        <f>_xlfn.XLOOKUP(tblAlocacao[[#This Row],[TURMA]],tblTurmas[CODIGO_TURMA],tblTurmas[ID_TURMA],"")</f>
        <v/>
      </c>
      <c r="E28" t="str">
        <f>_xlfn.XLOOKUP(tblAlocacao[[#This Row],[DISCIPLINA]],tblDisciplinas[NOME_DISCIPLINA],tblDisciplinas[ID_DISCIPLINA],"")</f>
        <v/>
      </c>
      <c r="F28" s="40"/>
      <c r="G28" t="str">
        <f>_xlfn.XLOOKUP(tblAlocacao[[#This Row],[Nome do Instrutor]],tblInstrutores[NOME_COMPLETO],tblInstrutores[ID],"")</f>
        <v/>
      </c>
      <c r="H28" t="str">
        <f>_xlfn.XLOOKUP(tblAlocacao[[#This Row],[TURMA]],tblTurmas[CODIGO_TURMA],tblTurmas[INSTRUTOR],"")</f>
        <v/>
      </c>
      <c r="I28" t="str">
        <f>_xlfn.XLOOKUP(tblAlocacao[[#This Row],[AMBIENTE]],tblAmbientes[NOME_AMBIENTE],tblAmbientes[ID],"")</f>
        <v/>
      </c>
      <c r="K28" t="str">
        <f>_xlfn.XLOOKUP(tblAlocacao[[#This Row],['#VALOR!]],tblTurnos[TURNO],tblTurnos[ID_TURNO],"")</f>
        <v/>
      </c>
      <c r="L28" t="str">
        <f>_xlfn.XLOOKUP(tblAlocacao[[#This Row],[TURMA]],tblTurmas[CODIGO_TURMA],tblTurmas[TURNO],"")</f>
        <v/>
      </c>
      <c r="M28" t="str">
        <f>_xlfn.XLOOKUP(tblAlocacao[[#This Row],[MODALIDADE]], tblModalidades[MODALIDADE], tblModalidades[ID_MODALIDADE],"")</f>
        <v/>
      </c>
      <c r="O28" s="32"/>
      <c r="P28" s="32"/>
      <c r="Q28" s="33" t="e">
        <f>($P28-$O28)-_xlfn.XLOOKUP(tblAlocacao[[#This Row],[TURMA]],tblTurmas[CODIGO_TURMA],tblTurmas[INTERVALO],"")</f>
        <v>#VALUE!</v>
      </c>
    </row>
    <row r="29" spans="1:20" x14ac:dyDescent="0.35">
      <c r="A29">
        <v>28</v>
      </c>
      <c r="B29" s="2"/>
      <c r="C29" t="str">
        <f>_xlfn.XLOOKUP(tblAlocacao[[#This Row],[TURMA]],tblTurmas[CODIGO_TURMA],tblTurmas[ID_TURMA],"")</f>
        <v/>
      </c>
      <c r="E29" t="str">
        <f>_xlfn.XLOOKUP(tblAlocacao[[#This Row],[DISCIPLINA]],tblDisciplinas[NOME_DISCIPLINA],tblDisciplinas[ID_DISCIPLINA],"")</f>
        <v/>
      </c>
      <c r="F29" s="40"/>
      <c r="G29" t="str">
        <f>_xlfn.XLOOKUP(tblAlocacao[[#This Row],[Nome do Instrutor]],tblInstrutores[NOME_COMPLETO],tblInstrutores[ID],"")</f>
        <v/>
      </c>
      <c r="H29" t="str">
        <f>_xlfn.XLOOKUP(tblAlocacao[[#This Row],[TURMA]],tblTurmas[CODIGO_TURMA],tblTurmas[INSTRUTOR],"")</f>
        <v/>
      </c>
      <c r="I29" t="str">
        <f>_xlfn.XLOOKUP(tblAlocacao[[#This Row],[AMBIENTE]],tblAmbientes[NOME_AMBIENTE],tblAmbientes[ID],"")</f>
        <v/>
      </c>
      <c r="K29" t="str">
        <f>_xlfn.XLOOKUP(tblAlocacao[[#This Row],['#VALOR!]],tblTurnos[TURNO],tblTurnos[ID_TURNO],"")</f>
        <v/>
      </c>
      <c r="L29" t="str">
        <f>_xlfn.XLOOKUP(tblAlocacao[[#This Row],[TURMA]],tblTurmas[CODIGO_TURMA],tblTurmas[TURNO],"")</f>
        <v/>
      </c>
      <c r="M29" t="str">
        <f>_xlfn.XLOOKUP(tblAlocacao[[#This Row],[MODALIDADE]], tblModalidades[MODALIDADE], tblModalidades[ID_MODALIDADE],"")</f>
        <v/>
      </c>
      <c r="O29" s="32"/>
      <c r="P29" s="32"/>
      <c r="Q29" s="33" t="e">
        <f>($P29-$O29)-_xlfn.XLOOKUP(tblAlocacao[[#This Row],[TURMA]],tblTurmas[CODIGO_TURMA],tblTurmas[INTERVALO],"")</f>
        <v>#VALUE!</v>
      </c>
    </row>
    <row r="30" spans="1:20" x14ac:dyDescent="0.35">
      <c r="A30">
        <v>29</v>
      </c>
      <c r="B30" s="2"/>
      <c r="C30" t="str">
        <f>_xlfn.XLOOKUP(tblAlocacao[[#This Row],[TURMA]],tblTurmas[CODIGO_TURMA],tblTurmas[ID_TURMA],"")</f>
        <v/>
      </c>
      <c r="E30" t="str">
        <f>_xlfn.XLOOKUP(tblAlocacao[[#This Row],[DISCIPLINA]],tblDisciplinas[NOME_DISCIPLINA],tblDisciplinas[ID_DISCIPLINA],"")</f>
        <v/>
      </c>
      <c r="F30" s="40"/>
      <c r="G30" t="str">
        <f>_xlfn.XLOOKUP(tblAlocacao[[#This Row],[Nome do Instrutor]],tblInstrutores[NOME_COMPLETO],tblInstrutores[ID],"")</f>
        <v/>
      </c>
      <c r="H30" t="str">
        <f>_xlfn.XLOOKUP(tblAlocacao[[#This Row],[TURMA]],tblTurmas[CODIGO_TURMA],tblTurmas[INSTRUTOR],"")</f>
        <v/>
      </c>
      <c r="I30" t="str">
        <f>_xlfn.XLOOKUP(tblAlocacao[[#This Row],[AMBIENTE]],tblAmbientes[NOME_AMBIENTE],tblAmbientes[ID],"")</f>
        <v/>
      </c>
      <c r="K30" t="str">
        <f>_xlfn.XLOOKUP(tblAlocacao[[#This Row],['#VALOR!]],tblTurnos[TURNO],tblTurnos[ID_TURNO],"")</f>
        <v/>
      </c>
      <c r="L30" t="str">
        <f>_xlfn.XLOOKUP(tblAlocacao[[#This Row],[TURMA]],tblTurmas[CODIGO_TURMA],tblTurmas[TURNO],"")</f>
        <v/>
      </c>
      <c r="M30" t="str">
        <f>_xlfn.XLOOKUP(tblAlocacao[[#This Row],[MODALIDADE]], tblModalidades[MODALIDADE], tblModalidades[ID_MODALIDADE],"")</f>
        <v/>
      </c>
      <c r="O30" s="32"/>
      <c r="P30" s="32"/>
      <c r="Q30" s="33" t="e">
        <f>($P30-$O30)-_xlfn.XLOOKUP(tblAlocacao[[#This Row],[TURMA]],tblTurmas[CODIGO_TURMA],tblTurmas[INTERVALO],"")</f>
        <v>#VALUE!</v>
      </c>
    </row>
    <row r="31" spans="1:20" x14ac:dyDescent="0.35">
      <c r="A31">
        <v>30</v>
      </c>
      <c r="B31" s="2"/>
      <c r="C31" t="str">
        <f>_xlfn.XLOOKUP(tblAlocacao[[#This Row],[TURMA]],tblTurmas[CODIGO_TURMA],tblTurmas[ID_TURMA],"")</f>
        <v/>
      </c>
      <c r="E31" t="str">
        <f>_xlfn.XLOOKUP(tblAlocacao[[#This Row],[DISCIPLINA]],tblDisciplinas[NOME_DISCIPLINA],tblDisciplinas[ID_DISCIPLINA],"")</f>
        <v/>
      </c>
      <c r="F31" s="40"/>
      <c r="G31" t="str">
        <f>_xlfn.XLOOKUP(tblAlocacao[[#This Row],[Nome do Instrutor]],tblInstrutores[NOME_COMPLETO],tblInstrutores[ID],"")</f>
        <v/>
      </c>
      <c r="H31" t="str">
        <f>_xlfn.XLOOKUP(tblAlocacao[[#This Row],[TURMA]],tblTurmas[CODIGO_TURMA],tblTurmas[INSTRUTOR],"")</f>
        <v/>
      </c>
      <c r="I31" t="str">
        <f>_xlfn.XLOOKUP(tblAlocacao[[#This Row],[AMBIENTE]],tblAmbientes[NOME_AMBIENTE],tblAmbientes[ID],"")</f>
        <v/>
      </c>
      <c r="K31" t="str">
        <f>_xlfn.XLOOKUP(tblAlocacao[[#This Row],['#VALOR!]],tblTurnos[TURNO],tblTurnos[ID_TURNO],"")</f>
        <v/>
      </c>
      <c r="L31" t="str">
        <f>_xlfn.XLOOKUP(tblAlocacao[[#This Row],[TURMA]],tblTurmas[CODIGO_TURMA],tblTurmas[TURNO],"")</f>
        <v/>
      </c>
      <c r="M31" t="str">
        <f>_xlfn.XLOOKUP(tblAlocacao[[#This Row],[MODALIDADE]], tblModalidades[MODALIDADE], tblModalidades[ID_MODALIDADE],"")</f>
        <v/>
      </c>
      <c r="O31" s="32"/>
      <c r="P31" s="32"/>
      <c r="Q31" s="33" t="e">
        <f>($P31-$O31)-_xlfn.XLOOKUP(tblAlocacao[[#This Row],[TURMA]],tblTurmas[CODIGO_TURMA],tblTurmas[INTERVALO],"")</f>
        <v>#VALUE!</v>
      </c>
    </row>
    <row r="32" spans="1:20" x14ac:dyDescent="0.35">
      <c r="A32">
        <v>31</v>
      </c>
      <c r="B32" s="2"/>
      <c r="C32" t="str">
        <f>_xlfn.XLOOKUP(tblAlocacao[[#This Row],[TURMA]],tblTurmas[CODIGO_TURMA],tblTurmas[ID_TURMA],"")</f>
        <v/>
      </c>
      <c r="E32" t="str">
        <f>_xlfn.XLOOKUP(tblAlocacao[[#This Row],[DISCIPLINA]],tblDisciplinas[NOME_DISCIPLINA],tblDisciplinas[ID_DISCIPLINA],"")</f>
        <v/>
      </c>
      <c r="F32" s="40"/>
      <c r="G32" t="str">
        <f>_xlfn.XLOOKUP(tblAlocacao[[#This Row],[Nome do Instrutor]],tblInstrutores[NOME_COMPLETO],tblInstrutores[ID],"")</f>
        <v/>
      </c>
      <c r="H32" t="str">
        <f>_xlfn.XLOOKUP(tblAlocacao[[#This Row],[TURMA]],tblTurmas[CODIGO_TURMA],tblTurmas[INSTRUTOR],"")</f>
        <v/>
      </c>
      <c r="I32" t="str">
        <f>_xlfn.XLOOKUP(tblAlocacao[[#This Row],[AMBIENTE]],tblAmbientes[NOME_AMBIENTE],tblAmbientes[ID],"")</f>
        <v/>
      </c>
      <c r="K32" t="str">
        <f>_xlfn.XLOOKUP(tblAlocacao[[#This Row],['#VALOR!]],tblTurnos[TURNO],tblTurnos[ID_TURNO],"")</f>
        <v/>
      </c>
      <c r="L32" t="str">
        <f>_xlfn.XLOOKUP(tblAlocacao[[#This Row],[TURMA]],tblTurmas[CODIGO_TURMA],tblTurmas[TURNO],"")</f>
        <v/>
      </c>
      <c r="M32" t="str">
        <f>_xlfn.XLOOKUP(tblAlocacao[[#This Row],[MODALIDADE]], tblModalidades[MODALIDADE], tblModalidades[ID_MODALIDADE],"")</f>
        <v/>
      </c>
      <c r="O32" s="32"/>
      <c r="P32" s="32"/>
      <c r="Q32" s="33" t="e">
        <f>($P32-$O32)-_xlfn.XLOOKUP(tblAlocacao[[#This Row],[TURMA]],tblTurmas[CODIGO_TURMA],tblTurmas[INTERVALO],"")</f>
        <v>#VALUE!</v>
      </c>
    </row>
    <row r="33" spans="1:17" x14ac:dyDescent="0.35">
      <c r="A33">
        <v>32</v>
      </c>
      <c r="B33" s="2"/>
      <c r="C33" t="str">
        <f>_xlfn.XLOOKUP(tblAlocacao[[#This Row],[TURMA]],tblTurmas[CODIGO_TURMA],tblTurmas[ID_TURMA],"")</f>
        <v/>
      </c>
      <c r="E33" t="str">
        <f>_xlfn.XLOOKUP(tblAlocacao[[#This Row],[DISCIPLINA]],tblDisciplinas[NOME_DISCIPLINA],tblDisciplinas[ID_DISCIPLINA],"")</f>
        <v/>
      </c>
      <c r="F33" s="40"/>
      <c r="G33" t="str">
        <f>_xlfn.XLOOKUP(tblAlocacao[[#This Row],[Nome do Instrutor]],tblInstrutores[NOME_COMPLETO],tblInstrutores[ID],"")</f>
        <v/>
      </c>
      <c r="H33" t="str">
        <f>_xlfn.XLOOKUP(tblAlocacao[[#This Row],[TURMA]],tblTurmas[CODIGO_TURMA],tblTurmas[INSTRUTOR],"")</f>
        <v/>
      </c>
      <c r="I33" t="str">
        <f>_xlfn.XLOOKUP(tblAlocacao[[#This Row],[AMBIENTE]],tblAmbientes[NOME_AMBIENTE],tblAmbientes[ID],"")</f>
        <v/>
      </c>
      <c r="K33" t="str">
        <f>_xlfn.XLOOKUP(tblAlocacao[[#This Row],['#VALOR!]],tblTurnos[TURNO],tblTurnos[ID_TURNO],"")</f>
        <v/>
      </c>
      <c r="L33" t="str">
        <f>_xlfn.XLOOKUP(tblAlocacao[[#This Row],[TURMA]],tblTurmas[CODIGO_TURMA],tblTurmas[TURNO],"")</f>
        <v/>
      </c>
      <c r="M33" t="str">
        <f>_xlfn.XLOOKUP(tblAlocacao[[#This Row],[MODALIDADE]], tblModalidades[MODALIDADE], tblModalidades[ID_MODALIDADE],"")</f>
        <v/>
      </c>
      <c r="O33" s="32"/>
      <c r="P33" s="32"/>
      <c r="Q33" s="33" t="e">
        <f>($P33-$O33)-_xlfn.XLOOKUP(tblAlocacao[[#This Row],[TURMA]],tblTurmas[CODIGO_TURMA],tblTurmas[INTERVALO],"")</f>
        <v>#VALUE!</v>
      </c>
    </row>
    <row r="34" spans="1:17" x14ac:dyDescent="0.35">
      <c r="A34">
        <v>33</v>
      </c>
      <c r="B34" s="2"/>
      <c r="C34" t="str">
        <f>_xlfn.XLOOKUP(tblAlocacao[[#This Row],[TURMA]],tblTurmas[CODIGO_TURMA],tblTurmas[ID_TURMA],"")</f>
        <v/>
      </c>
      <c r="E34" t="str">
        <f>_xlfn.XLOOKUP(tblAlocacao[[#This Row],[DISCIPLINA]],tblDisciplinas[NOME_DISCIPLINA],tblDisciplinas[ID_DISCIPLINA],"")</f>
        <v/>
      </c>
      <c r="F34" s="40"/>
      <c r="G34" t="str">
        <f>_xlfn.XLOOKUP(tblAlocacao[[#This Row],[Nome do Instrutor]],tblInstrutores[NOME_COMPLETO],tblInstrutores[ID],"")</f>
        <v/>
      </c>
      <c r="H34" t="str">
        <f>_xlfn.XLOOKUP(tblAlocacao[[#This Row],[TURMA]],tblTurmas[CODIGO_TURMA],tblTurmas[INSTRUTOR],"")</f>
        <v/>
      </c>
      <c r="I34" t="str">
        <f>_xlfn.XLOOKUP(tblAlocacao[[#This Row],[AMBIENTE]],tblAmbientes[NOME_AMBIENTE],tblAmbientes[ID],"")</f>
        <v/>
      </c>
      <c r="K34" t="str">
        <f>_xlfn.XLOOKUP(tblAlocacao[[#This Row],['#VALOR!]],tblTurnos[TURNO],tblTurnos[ID_TURNO],"")</f>
        <v/>
      </c>
      <c r="L34" t="str">
        <f>_xlfn.XLOOKUP(tblAlocacao[[#This Row],[TURMA]],tblTurmas[CODIGO_TURMA],tblTurmas[TURNO],"")</f>
        <v/>
      </c>
      <c r="M34" t="str">
        <f>_xlfn.XLOOKUP(tblAlocacao[[#This Row],[MODALIDADE]], tblModalidades[MODALIDADE], tblModalidades[ID_MODALIDADE],"")</f>
        <v/>
      </c>
      <c r="O34" s="32"/>
      <c r="P34" s="32"/>
      <c r="Q34" s="33" t="e">
        <f>($P34-$O34)-_xlfn.XLOOKUP(tblAlocacao[[#This Row],[TURMA]],tblTurmas[CODIGO_TURMA],tblTurmas[INTERVALO],"")</f>
        <v>#VALUE!</v>
      </c>
    </row>
    <row r="35" spans="1:17" x14ac:dyDescent="0.35">
      <c r="A35">
        <v>34</v>
      </c>
      <c r="B35" s="2"/>
      <c r="C35" t="str">
        <f>_xlfn.XLOOKUP(tblAlocacao[[#This Row],[TURMA]],tblTurmas[CODIGO_TURMA],tblTurmas[ID_TURMA],"")</f>
        <v/>
      </c>
      <c r="E35" t="str">
        <f>_xlfn.XLOOKUP(tblAlocacao[[#This Row],[DISCIPLINA]],tblDisciplinas[NOME_DISCIPLINA],tblDisciplinas[ID_DISCIPLINA],"")</f>
        <v/>
      </c>
      <c r="F35" s="40"/>
      <c r="G35" t="str">
        <f>_xlfn.XLOOKUP(tblAlocacao[[#This Row],[Nome do Instrutor]],tblInstrutores[NOME_COMPLETO],tblInstrutores[ID],"")</f>
        <v/>
      </c>
      <c r="H35" t="str">
        <f>_xlfn.XLOOKUP(tblAlocacao[[#This Row],[TURMA]],tblTurmas[CODIGO_TURMA],tblTurmas[INSTRUTOR],"")</f>
        <v/>
      </c>
      <c r="I35" t="str">
        <f>_xlfn.XLOOKUP(tblAlocacao[[#This Row],[AMBIENTE]],tblAmbientes[NOME_AMBIENTE],tblAmbientes[ID],"")</f>
        <v/>
      </c>
      <c r="K35" t="str">
        <f>_xlfn.XLOOKUP(tblAlocacao[[#This Row],['#VALOR!]],tblTurnos[TURNO],tblTurnos[ID_TURNO],"")</f>
        <v/>
      </c>
      <c r="L35" t="str">
        <f>_xlfn.XLOOKUP(tblAlocacao[[#This Row],[TURMA]],tblTurmas[CODIGO_TURMA],tblTurmas[TURNO],"")</f>
        <v/>
      </c>
      <c r="M35" t="str">
        <f>_xlfn.XLOOKUP(tblAlocacao[[#This Row],[MODALIDADE]], tblModalidades[MODALIDADE], tblModalidades[ID_MODALIDADE],"")</f>
        <v/>
      </c>
      <c r="O35" s="32"/>
      <c r="P35" s="32"/>
      <c r="Q35" s="33" t="e">
        <f>($P35-$O35)-_xlfn.XLOOKUP(tblAlocacao[[#This Row],[TURMA]],tblTurmas[CODIGO_TURMA],tblTurmas[INTERVALO],"")</f>
        <v>#VALUE!</v>
      </c>
    </row>
    <row r="36" spans="1:17" x14ac:dyDescent="0.35">
      <c r="A36">
        <v>35</v>
      </c>
      <c r="B36" s="2"/>
      <c r="C36" t="str">
        <f>_xlfn.XLOOKUP(tblAlocacao[[#This Row],[TURMA]],tblTurmas[CODIGO_TURMA],tblTurmas[ID_TURMA],"")</f>
        <v/>
      </c>
      <c r="E36" t="str">
        <f>_xlfn.XLOOKUP(tblAlocacao[[#This Row],[DISCIPLINA]],tblDisciplinas[NOME_DISCIPLINA],tblDisciplinas[ID_DISCIPLINA],"")</f>
        <v/>
      </c>
      <c r="F36" s="40"/>
      <c r="G36" t="str">
        <f>_xlfn.XLOOKUP(tblAlocacao[[#This Row],[Nome do Instrutor]],tblInstrutores[NOME_COMPLETO],tblInstrutores[ID],"")</f>
        <v/>
      </c>
      <c r="H36" t="str">
        <f>_xlfn.XLOOKUP(tblAlocacao[[#This Row],[TURMA]],tblTurmas[CODIGO_TURMA],tblTurmas[INSTRUTOR],"")</f>
        <v/>
      </c>
      <c r="I36" t="str">
        <f>_xlfn.XLOOKUP(tblAlocacao[[#This Row],[AMBIENTE]],tblAmbientes[NOME_AMBIENTE],tblAmbientes[ID],"")</f>
        <v/>
      </c>
      <c r="K36" t="str">
        <f>_xlfn.XLOOKUP(tblAlocacao[[#This Row],['#VALOR!]],tblTurnos[TURNO],tblTurnos[ID_TURNO],"")</f>
        <v/>
      </c>
      <c r="L36" t="str">
        <f>_xlfn.XLOOKUP(tblAlocacao[[#This Row],[TURMA]],tblTurmas[CODIGO_TURMA],tblTurmas[TURNO],"")</f>
        <v/>
      </c>
      <c r="M36" t="str">
        <f>_xlfn.XLOOKUP(tblAlocacao[[#This Row],[MODALIDADE]], tblModalidades[MODALIDADE], tblModalidades[ID_MODALIDADE],"")</f>
        <v/>
      </c>
      <c r="O36" s="32"/>
      <c r="P36" s="32"/>
      <c r="Q36" s="33" t="e">
        <f>($P36-$O36)-_xlfn.XLOOKUP(tblAlocacao[[#This Row],[TURMA]],tblTurmas[CODIGO_TURMA],tblTurmas[INTERVALO],"")</f>
        <v>#VALUE!</v>
      </c>
    </row>
    <row r="37" spans="1:17" x14ac:dyDescent="0.35">
      <c r="A37">
        <v>36</v>
      </c>
      <c r="B37" s="2"/>
      <c r="C37" t="str">
        <f>_xlfn.XLOOKUP(tblAlocacao[[#This Row],[TURMA]],tblTurmas[CODIGO_TURMA],tblTurmas[ID_TURMA],"")</f>
        <v/>
      </c>
      <c r="E37" t="str">
        <f>_xlfn.XLOOKUP(tblAlocacao[[#This Row],[DISCIPLINA]],tblDisciplinas[NOME_DISCIPLINA],tblDisciplinas[ID_DISCIPLINA],"")</f>
        <v/>
      </c>
      <c r="F37" s="40"/>
      <c r="G37" t="str">
        <f>_xlfn.XLOOKUP(tblAlocacao[[#This Row],[Nome do Instrutor]],tblInstrutores[NOME_COMPLETO],tblInstrutores[ID],"")</f>
        <v/>
      </c>
      <c r="H37" t="str">
        <f>_xlfn.XLOOKUP(tblAlocacao[[#This Row],[TURMA]],tblTurmas[CODIGO_TURMA],tblTurmas[INSTRUTOR],"")</f>
        <v/>
      </c>
      <c r="I37" t="str">
        <f>_xlfn.XLOOKUP(tblAlocacao[[#This Row],[AMBIENTE]],tblAmbientes[NOME_AMBIENTE],tblAmbientes[ID],"")</f>
        <v/>
      </c>
      <c r="K37" t="str">
        <f>_xlfn.XLOOKUP(tblAlocacao[[#This Row],['#VALOR!]],tblTurnos[TURNO],tblTurnos[ID_TURNO],"")</f>
        <v/>
      </c>
      <c r="L37" t="str">
        <f>_xlfn.XLOOKUP(tblAlocacao[[#This Row],[TURMA]],tblTurmas[CODIGO_TURMA],tblTurmas[TURNO],"")</f>
        <v/>
      </c>
      <c r="M37" t="str">
        <f>_xlfn.XLOOKUP(tblAlocacao[[#This Row],[MODALIDADE]], tblModalidades[MODALIDADE], tblModalidades[ID_MODALIDADE],"")</f>
        <v/>
      </c>
      <c r="O37" s="32"/>
      <c r="P37" s="32"/>
      <c r="Q37" s="33" t="e">
        <f>($P37-$O37)-_xlfn.XLOOKUP(tblAlocacao[[#This Row],[TURMA]],tblTurmas[CODIGO_TURMA],tblTurmas[INTERVALO],"")</f>
        <v>#VALUE!</v>
      </c>
    </row>
    <row r="38" spans="1:17" x14ac:dyDescent="0.35">
      <c r="A38">
        <v>37</v>
      </c>
      <c r="B38" s="2"/>
      <c r="C38" t="str">
        <f>_xlfn.XLOOKUP(tblAlocacao[[#This Row],[TURMA]],tblTurmas[CODIGO_TURMA],tblTurmas[ID_TURMA],"")</f>
        <v/>
      </c>
      <c r="E38" t="str">
        <f>_xlfn.XLOOKUP(tblAlocacao[[#This Row],[DISCIPLINA]],tblDisciplinas[NOME_DISCIPLINA],tblDisciplinas[ID_DISCIPLINA],"")</f>
        <v/>
      </c>
      <c r="F38" s="40"/>
      <c r="G38" t="str">
        <f>_xlfn.XLOOKUP(tblAlocacao[[#This Row],[Nome do Instrutor]],tblInstrutores[NOME_COMPLETO],tblInstrutores[ID],"")</f>
        <v/>
      </c>
      <c r="H38" t="str">
        <f>_xlfn.XLOOKUP(tblAlocacao[[#This Row],[TURMA]],tblTurmas[CODIGO_TURMA],tblTurmas[INSTRUTOR],"")</f>
        <v/>
      </c>
      <c r="I38" t="str">
        <f>_xlfn.XLOOKUP(tblAlocacao[[#This Row],[AMBIENTE]],tblAmbientes[NOME_AMBIENTE],tblAmbientes[ID],"")</f>
        <v/>
      </c>
      <c r="K38" t="str">
        <f>_xlfn.XLOOKUP(tblAlocacao[[#This Row],['#VALOR!]],tblTurnos[TURNO],tblTurnos[ID_TURNO],"")</f>
        <v/>
      </c>
      <c r="L38" t="str">
        <f>_xlfn.XLOOKUP(tblAlocacao[[#This Row],[TURMA]],tblTurmas[CODIGO_TURMA],tblTurmas[TURNO],"")</f>
        <v/>
      </c>
      <c r="M38" t="str">
        <f>_xlfn.XLOOKUP(tblAlocacao[[#This Row],[MODALIDADE]], tblModalidades[MODALIDADE], tblModalidades[ID_MODALIDADE],"")</f>
        <v/>
      </c>
      <c r="O38" s="32"/>
      <c r="P38" s="32"/>
      <c r="Q38" s="33" t="e">
        <f>($P38-$O38)-_xlfn.XLOOKUP(tblAlocacao[[#This Row],[TURMA]],tblTurmas[CODIGO_TURMA],tblTurmas[INTERVALO],"")</f>
        <v>#VALUE!</v>
      </c>
    </row>
    <row r="39" spans="1:17" x14ac:dyDescent="0.35">
      <c r="A39">
        <v>38</v>
      </c>
      <c r="B39" s="2"/>
      <c r="C39" t="str">
        <f>_xlfn.XLOOKUP(tblAlocacao[[#This Row],[TURMA]],tblTurmas[CODIGO_TURMA],tblTurmas[ID_TURMA],"")</f>
        <v/>
      </c>
      <c r="E39" t="str">
        <f>_xlfn.XLOOKUP(tblAlocacao[[#This Row],[DISCIPLINA]],tblDisciplinas[NOME_DISCIPLINA],tblDisciplinas[ID_DISCIPLINA],"")</f>
        <v/>
      </c>
      <c r="F39" s="40"/>
      <c r="G39" t="str">
        <f>_xlfn.XLOOKUP(tblAlocacao[[#This Row],[Nome do Instrutor]],tblInstrutores[NOME_COMPLETO],tblInstrutores[ID],"")</f>
        <v/>
      </c>
      <c r="H39" t="str">
        <f>_xlfn.XLOOKUP(tblAlocacao[[#This Row],[TURMA]],tblTurmas[CODIGO_TURMA],tblTurmas[INSTRUTOR],"")</f>
        <v/>
      </c>
      <c r="I39" t="str">
        <f>_xlfn.XLOOKUP(tblAlocacao[[#This Row],[AMBIENTE]],tblAmbientes[NOME_AMBIENTE],tblAmbientes[ID],"")</f>
        <v/>
      </c>
      <c r="K39" t="str">
        <f>_xlfn.XLOOKUP(tblAlocacao[[#This Row],['#VALOR!]],tblTurnos[TURNO],tblTurnos[ID_TURNO],"")</f>
        <v/>
      </c>
      <c r="L39" t="str">
        <f>_xlfn.XLOOKUP(tblAlocacao[[#This Row],[TURMA]],tblTurmas[CODIGO_TURMA],tblTurmas[TURNO],"")</f>
        <v/>
      </c>
      <c r="M39" t="str">
        <f>_xlfn.XLOOKUP(tblAlocacao[[#This Row],[MODALIDADE]], tblModalidades[MODALIDADE], tblModalidades[ID_MODALIDADE],"")</f>
        <v/>
      </c>
      <c r="O39" s="32"/>
      <c r="P39" s="32"/>
      <c r="Q39" s="33" t="e">
        <f>($P39-$O39)-_xlfn.XLOOKUP(tblAlocacao[[#This Row],[TURMA]],tblTurmas[CODIGO_TURMA],tblTurmas[INTERVALO],"")</f>
        <v>#VALUE!</v>
      </c>
    </row>
    <row r="40" spans="1:17" x14ac:dyDescent="0.35">
      <c r="A40">
        <v>39</v>
      </c>
      <c r="B40" s="2"/>
      <c r="C40" t="str">
        <f>_xlfn.XLOOKUP(tblAlocacao[[#This Row],[TURMA]],tblTurmas[CODIGO_TURMA],tblTurmas[ID_TURMA],"")</f>
        <v/>
      </c>
      <c r="E40" t="str">
        <f>_xlfn.XLOOKUP(tblAlocacao[[#This Row],[DISCIPLINA]],tblDisciplinas[NOME_DISCIPLINA],tblDisciplinas[ID_DISCIPLINA],"")</f>
        <v/>
      </c>
      <c r="F40" s="40"/>
      <c r="G40" t="str">
        <f>_xlfn.XLOOKUP(tblAlocacao[[#This Row],[Nome do Instrutor]],tblInstrutores[NOME_COMPLETO],tblInstrutores[ID],"")</f>
        <v/>
      </c>
      <c r="H40" t="str">
        <f>_xlfn.XLOOKUP(tblAlocacao[[#This Row],[TURMA]],tblTurmas[CODIGO_TURMA],tblTurmas[INSTRUTOR],"")</f>
        <v/>
      </c>
      <c r="I40" t="str">
        <f>_xlfn.XLOOKUP(tblAlocacao[[#This Row],[AMBIENTE]],tblAmbientes[NOME_AMBIENTE],tblAmbientes[ID],"")</f>
        <v/>
      </c>
      <c r="K40" t="str">
        <f>_xlfn.XLOOKUP(tblAlocacao[[#This Row],['#VALOR!]],tblTurnos[TURNO],tblTurnos[ID_TURNO],"")</f>
        <v/>
      </c>
      <c r="L40" t="str">
        <f>_xlfn.XLOOKUP(tblAlocacao[[#This Row],[TURMA]],tblTurmas[CODIGO_TURMA],tblTurmas[TURNO],"")</f>
        <v/>
      </c>
      <c r="M40" t="str">
        <f>_xlfn.XLOOKUP(tblAlocacao[[#This Row],[MODALIDADE]], tblModalidades[MODALIDADE], tblModalidades[ID_MODALIDADE],"")</f>
        <v/>
      </c>
      <c r="O40" s="32"/>
      <c r="P40" s="32"/>
      <c r="Q40" s="33" t="e">
        <f>($P40-$O40)-_xlfn.XLOOKUP(tblAlocacao[[#This Row],[TURMA]],tblTurmas[CODIGO_TURMA],tblTurmas[INTERVALO],"")</f>
        <v>#VALUE!</v>
      </c>
    </row>
    <row r="41" spans="1:17" x14ac:dyDescent="0.35">
      <c r="A41">
        <v>40</v>
      </c>
      <c r="B41" s="2"/>
      <c r="C41" t="str">
        <f>_xlfn.XLOOKUP(tblAlocacao[[#This Row],[TURMA]],tblTurmas[CODIGO_TURMA],tblTurmas[ID_TURMA],"")</f>
        <v/>
      </c>
      <c r="E41" t="str">
        <f>_xlfn.XLOOKUP(tblAlocacao[[#This Row],[DISCIPLINA]],tblDisciplinas[NOME_DISCIPLINA],tblDisciplinas[ID_DISCIPLINA],"")</f>
        <v/>
      </c>
      <c r="F41" s="40"/>
      <c r="G41" t="str">
        <f>_xlfn.XLOOKUP(tblAlocacao[[#This Row],[Nome do Instrutor]],tblInstrutores[NOME_COMPLETO],tblInstrutores[ID],"")</f>
        <v/>
      </c>
      <c r="H41" t="str">
        <f>_xlfn.XLOOKUP(tblAlocacao[[#This Row],[TURMA]],tblTurmas[CODIGO_TURMA],tblTurmas[INSTRUTOR],"")</f>
        <v/>
      </c>
      <c r="I41" t="str">
        <f>_xlfn.XLOOKUP(tblAlocacao[[#This Row],[AMBIENTE]],tblAmbientes[NOME_AMBIENTE],tblAmbientes[ID],"")</f>
        <v/>
      </c>
      <c r="K41" t="str">
        <f>_xlfn.XLOOKUP(tblAlocacao[[#This Row],['#VALOR!]],tblTurnos[TURNO],tblTurnos[ID_TURNO],"")</f>
        <v/>
      </c>
      <c r="L41" t="str">
        <f>_xlfn.XLOOKUP(tblAlocacao[[#This Row],[TURMA]],tblTurmas[CODIGO_TURMA],tblTurmas[TURNO],"")</f>
        <v/>
      </c>
      <c r="M41" t="str">
        <f>_xlfn.XLOOKUP(tblAlocacao[[#This Row],[MODALIDADE]], tblModalidades[MODALIDADE], tblModalidades[ID_MODALIDADE],"")</f>
        <v/>
      </c>
      <c r="O41" s="32"/>
      <c r="P41" s="32"/>
      <c r="Q41" s="33" t="e">
        <f>($P41-$O41)-_xlfn.XLOOKUP(tblAlocacao[[#This Row],[TURMA]],tblTurmas[CODIGO_TURMA],tblTurmas[INTERVALO],"")</f>
        <v>#VALUE!</v>
      </c>
    </row>
    <row r="42" spans="1:17" x14ac:dyDescent="0.35">
      <c r="A42">
        <v>41</v>
      </c>
      <c r="B42" s="2"/>
      <c r="C42" t="str">
        <f>_xlfn.XLOOKUP(tblAlocacao[[#This Row],[TURMA]],tblTurmas[CODIGO_TURMA],tblTurmas[ID_TURMA],"")</f>
        <v/>
      </c>
      <c r="E42" t="str">
        <f>_xlfn.XLOOKUP(tblAlocacao[[#This Row],[DISCIPLINA]],tblDisciplinas[NOME_DISCIPLINA],tblDisciplinas[ID_DISCIPLINA],"")</f>
        <v/>
      </c>
      <c r="F42" s="40"/>
      <c r="G42" t="str">
        <f>_xlfn.XLOOKUP(tblAlocacao[[#This Row],[Nome do Instrutor]],tblInstrutores[NOME_COMPLETO],tblInstrutores[ID],"")</f>
        <v/>
      </c>
      <c r="H42" t="str">
        <f>_xlfn.XLOOKUP(tblAlocacao[[#This Row],[TURMA]],tblTurmas[CODIGO_TURMA],tblTurmas[INSTRUTOR],"")</f>
        <v/>
      </c>
      <c r="I42" t="str">
        <f>_xlfn.XLOOKUP(tblAlocacao[[#This Row],[AMBIENTE]],tblAmbientes[NOME_AMBIENTE],tblAmbientes[ID],"")</f>
        <v/>
      </c>
      <c r="K42" t="str">
        <f>_xlfn.XLOOKUP(tblAlocacao[[#This Row],['#VALOR!]],tblTurnos[TURNO],tblTurnos[ID_TURNO],"")</f>
        <v/>
      </c>
      <c r="L42" t="str">
        <f>_xlfn.XLOOKUP(tblAlocacao[[#This Row],[TURMA]],tblTurmas[CODIGO_TURMA],tblTurmas[TURNO],"")</f>
        <v/>
      </c>
      <c r="M42" t="str">
        <f>_xlfn.XLOOKUP(tblAlocacao[[#This Row],[MODALIDADE]], tblModalidades[MODALIDADE], tblModalidades[ID_MODALIDADE],"")</f>
        <v/>
      </c>
      <c r="O42" s="32"/>
      <c r="P42" s="32"/>
      <c r="Q42" s="33" t="e">
        <f>($P42-$O42)-_xlfn.XLOOKUP(tblAlocacao[[#This Row],[TURMA]],tblTurmas[CODIGO_TURMA],tblTurmas[INTERVALO],"")</f>
        <v>#VALUE!</v>
      </c>
    </row>
    <row r="43" spans="1:17" x14ac:dyDescent="0.35">
      <c r="A43">
        <v>42</v>
      </c>
      <c r="B43" s="2"/>
      <c r="C43" t="str">
        <f>_xlfn.XLOOKUP(tblAlocacao[[#This Row],[TURMA]],tblTurmas[CODIGO_TURMA],tblTurmas[ID_TURMA],"")</f>
        <v/>
      </c>
      <c r="E43" t="str">
        <f>_xlfn.XLOOKUP(tblAlocacao[[#This Row],[DISCIPLINA]],tblDisciplinas[NOME_DISCIPLINA],tblDisciplinas[ID_DISCIPLINA],"")</f>
        <v/>
      </c>
      <c r="F43" s="40"/>
      <c r="G43" t="str">
        <f>_xlfn.XLOOKUP(tblAlocacao[[#This Row],[Nome do Instrutor]],tblInstrutores[NOME_COMPLETO],tblInstrutores[ID],"")</f>
        <v/>
      </c>
      <c r="H43" t="str">
        <f>_xlfn.XLOOKUP(tblAlocacao[[#This Row],[TURMA]],tblTurmas[CODIGO_TURMA],tblTurmas[INSTRUTOR],"")</f>
        <v/>
      </c>
      <c r="I43" t="str">
        <f>_xlfn.XLOOKUP(tblAlocacao[[#This Row],[AMBIENTE]],tblAmbientes[NOME_AMBIENTE],tblAmbientes[ID],"")</f>
        <v/>
      </c>
      <c r="K43" t="str">
        <f>_xlfn.XLOOKUP(tblAlocacao[[#This Row],['#VALOR!]],tblTurnos[TURNO],tblTurnos[ID_TURNO],"")</f>
        <v/>
      </c>
      <c r="L43" t="str">
        <f>_xlfn.XLOOKUP(tblAlocacao[[#This Row],[TURMA]],tblTurmas[CODIGO_TURMA],tblTurmas[TURNO],"")</f>
        <v/>
      </c>
      <c r="M43" t="str">
        <f>_xlfn.XLOOKUP(tblAlocacao[[#This Row],[MODALIDADE]], tblModalidades[MODALIDADE], tblModalidades[ID_MODALIDADE],"")</f>
        <v/>
      </c>
      <c r="O43" s="32"/>
      <c r="P43" s="32"/>
      <c r="Q43" s="33" t="e">
        <f>($P43-$O43)-_xlfn.XLOOKUP(tblAlocacao[[#This Row],[TURMA]],tblTurmas[CODIGO_TURMA],tblTurmas[INTERVALO],"")</f>
        <v>#VALUE!</v>
      </c>
    </row>
    <row r="44" spans="1:17" x14ac:dyDescent="0.35">
      <c r="A44">
        <v>43</v>
      </c>
      <c r="B44" s="2"/>
      <c r="C44" t="str">
        <f>_xlfn.XLOOKUP(tblAlocacao[[#This Row],[TURMA]],tblTurmas[CODIGO_TURMA],tblTurmas[ID_TURMA],"")</f>
        <v/>
      </c>
      <c r="E44" t="str">
        <f>_xlfn.XLOOKUP(tblAlocacao[[#This Row],[DISCIPLINA]],tblDisciplinas[NOME_DISCIPLINA],tblDisciplinas[ID_DISCIPLINA],"")</f>
        <v/>
      </c>
      <c r="F44" s="40"/>
      <c r="G44" t="str">
        <f>_xlfn.XLOOKUP(tblAlocacao[[#This Row],[Nome do Instrutor]],tblInstrutores[NOME_COMPLETO],tblInstrutores[ID],"")</f>
        <v/>
      </c>
      <c r="H44" t="str">
        <f>_xlfn.XLOOKUP(tblAlocacao[[#This Row],[TURMA]],tblTurmas[CODIGO_TURMA],tblTurmas[INSTRUTOR],"")</f>
        <v/>
      </c>
      <c r="I44" t="str">
        <f>_xlfn.XLOOKUP(tblAlocacao[[#This Row],[AMBIENTE]],tblAmbientes[NOME_AMBIENTE],tblAmbientes[ID],"")</f>
        <v/>
      </c>
      <c r="K44" t="str">
        <f>_xlfn.XLOOKUP(tblAlocacao[[#This Row],['#VALOR!]],tblTurnos[TURNO],tblTurnos[ID_TURNO],"")</f>
        <v/>
      </c>
      <c r="L44" t="str">
        <f>_xlfn.XLOOKUP(tblAlocacao[[#This Row],[TURMA]],tblTurmas[CODIGO_TURMA],tblTurmas[TURNO],"")</f>
        <v/>
      </c>
      <c r="M44" t="str">
        <f>_xlfn.XLOOKUP(tblAlocacao[[#This Row],[MODALIDADE]], tblModalidades[MODALIDADE], tblModalidades[ID_MODALIDADE],"")</f>
        <v/>
      </c>
      <c r="O44" s="32"/>
      <c r="P44" s="32"/>
      <c r="Q44" s="33" t="e">
        <f>($P44-$O44)-_xlfn.XLOOKUP(tblAlocacao[[#This Row],[TURMA]],tblTurmas[CODIGO_TURMA],tblTurmas[INTERVALO],"")</f>
        <v>#VALUE!</v>
      </c>
    </row>
    <row r="45" spans="1:17" x14ac:dyDescent="0.35">
      <c r="A45">
        <v>44</v>
      </c>
      <c r="B45" s="2"/>
      <c r="C45" t="str">
        <f>_xlfn.XLOOKUP(tblAlocacao[[#This Row],[TURMA]],tblTurmas[CODIGO_TURMA],tblTurmas[ID_TURMA],"")</f>
        <v/>
      </c>
      <c r="E45" t="str">
        <f>_xlfn.XLOOKUP(tblAlocacao[[#This Row],[DISCIPLINA]],tblDisciplinas[NOME_DISCIPLINA],tblDisciplinas[ID_DISCIPLINA],"")</f>
        <v/>
      </c>
      <c r="F45" s="40"/>
      <c r="G45" t="str">
        <f>_xlfn.XLOOKUP(tblAlocacao[[#This Row],[Nome do Instrutor]],tblInstrutores[NOME_COMPLETO],tblInstrutores[ID],"")</f>
        <v/>
      </c>
      <c r="H45" t="str">
        <f>_xlfn.XLOOKUP(tblAlocacao[[#This Row],[TURMA]],tblTurmas[CODIGO_TURMA],tblTurmas[INSTRUTOR],"")</f>
        <v/>
      </c>
      <c r="I45" t="str">
        <f>_xlfn.XLOOKUP(tblAlocacao[[#This Row],[AMBIENTE]],tblAmbientes[NOME_AMBIENTE],tblAmbientes[ID],"")</f>
        <v/>
      </c>
      <c r="K45" t="str">
        <f>_xlfn.XLOOKUP(tblAlocacao[[#This Row],['#VALOR!]],tblTurnos[TURNO],tblTurnos[ID_TURNO],"")</f>
        <v/>
      </c>
      <c r="L45" t="str">
        <f>_xlfn.XLOOKUP(tblAlocacao[[#This Row],[TURMA]],tblTurmas[CODIGO_TURMA],tblTurmas[TURNO],"")</f>
        <v/>
      </c>
      <c r="M45" t="str">
        <f>_xlfn.XLOOKUP(tblAlocacao[[#This Row],[MODALIDADE]], tblModalidades[MODALIDADE], tblModalidades[ID_MODALIDADE],"")</f>
        <v/>
      </c>
      <c r="O45" s="32"/>
      <c r="P45" s="32"/>
      <c r="Q45" s="33" t="e">
        <f>($P45-$O45)-_xlfn.XLOOKUP(tblAlocacao[[#This Row],[TURMA]],tblTurmas[CODIGO_TURMA],tblTurmas[INTERVALO],"")</f>
        <v>#VALUE!</v>
      </c>
    </row>
    <row r="46" spans="1:17" x14ac:dyDescent="0.35">
      <c r="A46">
        <v>45</v>
      </c>
      <c r="B46" s="2"/>
      <c r="C46" t="str">
        <f>_xlfn.XLOOKUP(tblAlocacao[[#This Row],[TURMA]],tblTurmas[CODIGO_TURMA],tblTurmas[ID_TURMA],"")</f>
        <v/>
      </c>
      <c r="E46" t="str">
        <f>_xlfn.XLOOKUP(tblAlocacao[[#This Row],[DISCIPLINA]],tblDisciplinas[NOME_DISCIPLINA],tblDisciplinas[ID_DISCIPLINA],"")</f>
        <v/>
      </c>
      <c r="F46" s="40"/>
      <c r="G46" t="str">
        <f>_xlfn.XLOOKUP(tblAlocacao[[#This Row],[Nome do Instrutor]],tblInstrutores[NOME_COMPLETO],tblInstrutores[ID],"")</f>
        <v/>
      </c>
      <c r="H46" t="str">
        <f>_xlfn.XLOOKUP(tblAlocacao[[#This Row],[TURMA]],tblTurmas[CODIGO_TURMA],tblTurmas[INSTRUTOR],"")</f>
        <v/>
      </c>
      <c r="I46" t="str">
        <f>_xlfn.XLOOKUP(tblAlocacao[[#This Row],[AMBIENTE]],tblAmbientes[NOME_AMBIENTE],tblAmbientes[ID],"")</f>
        <v/>
      </c>
      <c r="K46" t="str">
        <f>_xlfn.XLOOKUP(tblAlocacao[[#This Row],['#VALOR!]],tblTurnos[TURNO],tblTurnos[ID_TURNO],"")</f>
        <v/>
      </c>
      <c r="L46" t="str">
        <f>_xlfn.XLOOKUP(tblAlocacao[[#This Row],[TURMA]],tblTurmas[CODIGO_TURMA],tblTurmas[TURNO],"")</f>
        <v/>
      </c>
      <c r="M46" t="str">
        <f>_xlfn.XLOOKUP(tblAlocacao[[#This Row],[MODALIDADE]], tblModalidades[MODALIDADE], tblModalidades[ID_MODALIDADE],"")</f>
        <v/>
      </c>
      <c r="O46" s="32"/>
      <c r="P46" s="32"/>
      <c r="Q46" s="33" t="e">
        <f>($P46-$O46)-_xlfn.XLOOKUP(tblAlocacao[[#This Row],[TURMA]],tblTurmas[CODIGO_TURMA],tblTurmas[INTERVALO],"")</f>
        <v>#VALUE!</v>
      </c>
    </row>
    <row r="47" spans="1:17" x14ac:dyDescent="0.35">
      <c r="A47">
        <v>46</v>
      </c>
      <c r="B47" s="2"/>
      <c r="C47" t="str">
        <f>_xlfn.XLOOKUP(tblAlocacao[[#This Row],[TURMA]],tblTurmas[CODIGO_TURMA],tblTurmas[ID_TURMA],"")</f>
        <v/>
      </c>
      <c r="E47" t="str">
        <f>_xlfn.XLOOKUP(tblAlocacao[[#This Row],[DISCIPLINA]],tblDisciplinas[NOME_DISCIPLINA],tblDisciplinas[ID_DISCIPLINA],"")</f>
        <v/>
      </c>
      <c r="F47" s="40"/>
      <c r="G47" t="str">
        <f>_xlfn.XLOOKUP(tblAlocacao[[#This Row],[Nome do Instrutor]],tblInstrutores[NOME_COMPLETO],tblInstrutores[ID],"")</f>
        <v/>
      </c>
      <c r="H47" t="str">
        <f>_xlfn.XLOOKUP(tblAlocacao[[#This Row],[TURMA]],tblTurmas[CODIGO_TURMA],tblTurmas[INSTRUTOR],"")</f>
        <v/>
      </c>
      <c r="I47" t="str">
        <f>_xlfn.XLOOKUP(tblAlocacao[[#This Row],[AMBIENTE]],tblAmbientes[NOME_AMBIENTE],tblAmbientes[ID],"")</f>
        <v/>
      </c>
      <c r="K47" t="str">
        <f>_xlfn.XLOOKUP(tblAlocacao[[#This Row],['#VALOR!]],tblTurnos[TURNO],tblTurnos[ID_TURNO],"")</f>
        <v/>
      </c>
      <c r="L47" t="str">
        <f>_xlfn.XLOOKUP(tblAlocacao[[#This Row],[TURMA]],tblTurmas[CODIGO_TURMA],tblTurmas[TURNO],"")</f>
        <v/>
      </c>
      <c r="M47" t="str">
        <f>_xlfn.XLOOKUP(tblAlocacao[[#This Row],[MODALIDADE]], tblModalidades[MODALIDADE], tblModalidades[ID_MODALIDADE],"")</f>
        <v/>
      </c>
      <c r="O47" s="32"/>
      <c r="P47" s="32"/>
      <c r="Q47" s="33" t="e">
        <f>($P47-$O47)-_xlfn.XLOOKUP(tblAlocacao[[#This Row],[TURMA]],tblTurmas[CODIGO_TURMA],tblTurmas[INTERVALO],"")</f>
        <v>#VALUE!</v>
      </c>
    </row>
    <row r="48" spans="1:17" x14ac:dyDescent="0.35">
      <c r="A48">
        <v>47</v>
      </c>
      <c r="B48" s="2"/>
      <c r="C48" t="str">
        <f>_xlfn.XLOOKUP(tblAlocacao[[#This Row],[TURMA]],tblTurmas[CODIGO_TURMA],tblTurmas[ID_TURMA],"")</f>
        <v/>
      </c>
      <c r="E48" t="str">
        <f>_xlfn.XLOOKUP(tblAlocacao[[#This Row],[DISCIPLINA]],tblDisciplinas[NOME_DISCIPLINA],tblDisciplinas[ID_DISCIPLINA],"")</f>
        <v/>
      </c>
      <c r="F48" s="40"/>
      <c r="G48" t="str">
        <f>_xlfn.XLOOKUP(tblAlocacao[[#This Row],[Nome do Instrutor]],tblInstrutores[NOME_COMPLETO],tblInstrutores[ID],"")</f>
        <v/>
      </c>
      <c r="H48" t="str">
        <f>_xlfn.XLOOKUP(tblAlocacao[[#This Row],[TURMA]],tblTurmas[CODIGO_TURMA],tblTurmas[INSTRUTOR],"")</f>
        <v/>
      </c>
      <c r="I48" t="str">
        <f>_xlfn.XLOOKUP(tblAlocacao[[#This Row],[AMBIENTE]],tblAmbientes[NOME_AMBIENTE],tblAmbientes[ID],"")</f>
        <v/>
      </c>
      <c r="K48" t="str">
        <f>_xlfn.XLOOKUP(tblAlocacao[[#This Row],['#VALOR!]],tblTurnos[TURNO],tblTurnos[ID_TURNO],"")</f>
        <v/>
      </c>
      <c r="L48" t="str">
        <f>_xlfn.XLOOKUP(tblAlocacao[[#This Row],[TURMA]],tblTurmas[CODIGO_TURMA],tblTurmas[TURNO],"")</f>
        <v/>
      </c>
      <c r="M48" t="str">
        <f>_xlfn.XLOOKUP(tblAlocacao[[#This Row],[MODALIDADE]], tblModalidades[MODALIDADE], tblModalidades[ID_MODALIDADE],"")</f>
        <v/>
      </c>
      <c r="O48" s="32"/>
      <c r="P48" s="32"/>
      <c r="Q48" s="33" t="e">
        <f>($P48-$O48)-_xlfn.XLOOKUP(tblAlocacao[[#This Row],[TURMA]],tblTurmas[CODIGO_TURMA],tblTurmas[INTERVALO],"")</f>
        <v>#VALUE!</v>
      </c>
    </row>
    <row r="49" spans="1:17" x14ac:dyDescent="0.35">
      <c r="A49">
        <v>48</v>
      </c>
      <c r="B49" s="2"/>
      <c r="C49" t="str">
        <f>_xlfn.XLOOKUP(tblAlocacao[[#This Row],[TURMA]],tblTurmas[CODIGO_TURMA],tblTurmas[ID_TURMA],"")</f>
        <v/>
      </c>
      <c r="E49" t="str">
        <f>_xlfn.XLOOKUP(tblAlocacao[[#This Row],[DISCIPLINA]],tblDisciplinas[NOME_DISCIPLINA],tblDisciplinas[ID_DISCIPLINA],"")</f>
        <v/>
      </c>
      <c r="F49" s="40"/>
      <c r="G49" t="str">
        <f>_xlfn.XLOOKUP(tblAlocacao[[#This Row],[Nome do Instrutor]],tblInstrutores[NOME_COMPLETO],tblInstrutores[ID],"")</f>
        <v/>
      </c>
      <c r="H49" t="str">
        <f>_xlfn.XLOOKUP(tblAlocacao[[#This Row],[TURMA]],tblTurmas[CODIGO_TURMA],tblTurmas[INSTRUTOR],"")</f>
        <v/>
      </c>
      <c r="I49" t="str">
        <f>_xlfn.XLOOKUP(tblAlocacao[[#This Row],[AMBIENTE]],tblAmbientes[NOME_AMBIENTE],tblAmbientes[ID],"")</f>
        <v/>
      </c>
      <c r="K49" t="str">
        <f>_xlfn.XLOOKUP(tblAlocacao[[#This Row],['#VALOR!]],tblTurnos[TURNO],tblTurnos[ID_TURNO],"")</f>
        <v/>
      </c>
      <c r="L49" t="str">
        <f>_xlfn.XLOOKUP(tblAlocacao[[#This Row],[TURMA]],tblTurmas[CODIGO_TURMA],tblTurmas[TURNO],"")</f>
        <v/>
      </c>
      <c r="M49" t="str">
        <f>_xlfn.XLOOKUP(tblAlocacao[[#This Row],[MODALIDADE]], tblModalidades[MODALIDADE], tblModalidades[ID_MODALIDADE],"")</f>
        <v/>
      </c>
      <c r="O49" s="32"/>
      <c r="P49" s="32"/>
      <c r="Q49" s="33" t="e">
        <f>($P49-$O49)-_xlfn.XLOOKUP(tblAlocacao[[#This Row],[TURMA]],tblTurmas[CODIGO_TURMA],tblTurmas[INTERVALO],"")</f>
        <v>#VALUE!</v>
      </c>
    </row>
    <row r="50" spans="1:17" x14ac:dyDescent="0.35">
      <c r="A50">
        <v>49</v>
      </c>
      <c r="B50" s="2"/>
      <c r="C50" t="str">
        <f>_xlfn.XLOOKUP(tblAlocacao[[#This Row],[TURMA]],tblTurmas[CODIGO_TURMA],tblTurmas[ID_TURMA],"")</f>
        <v/>
      </c>
      <c r="E50" t="str">
        <f>_xlfn.XLOOKUP(tblAlocacao[[#This Row],[DISCIPLINA]],tblDisciplinas[NOME_DISCIPLINA],tblDisciplinas[ID_DISCIPLINA],"")</f>
        <v/>
      </c>
      <c r="F50" s="40"/>
      <c r="G50" t="str">
        <f>_xlfn.XLOOKUP(tblAlocacao[[#This Row],[Nome do Instrutor]],tblInstrutores[NOME_COMPLETO],tblInstrutores[ID],"")</f>
        <v/>
      </c>
      <c r="H50" t="str">
        <f>_xlfn.XLOOKUP(tblAlocacao[[#This Row],[TURMA]],tblTurmas[CODIGO_TURMA],tblTurmas[INSTRUTOR],"")</f>
        <v/>
      </c>
      <c r="I50" t="str">
        <f>_xlfn.XLOOKUP(tblAlocacao[[#This Row],[AMBIENTE]],tblAmbientes[NOME_AMBIENTE],tblAmbientes[ID],"")</f>
        <v/>
      </c>
      <c r="K50" t="str">
        <f>_xlfn.XLOOKUP(tblAlocacao[[#This Row],['#VALOR!]],tblTurnos[TURNO],tblTurnos[ID_TURNO],"")</f>
        <v/>
      </c>
      <c r="L50" t="str">
        <f>_xlfn.XLOOKUP(tblAlocacao[[#This Row],[TURMA]],tblTurmas[CODIGO_TURMA],tblTurmas[TURNO],"")</f>
        <v/>
      </c>
      <c r="M50" t="str">
        <f>_xlfn.XLOOKUP(tblAlocacao[[#This Row],[MODALIDADE]], tblModalidades[MODALIDADE], tblModalidades[ID_MODALIDADE],"")</f>
        <v/>
      </c>
      <c r="O50" s="32"/>
      <c r="P50" s="32"/>
      <c r="Q50" s="33" t="e">
        <f>($P50-$O50)-_xlfn.XLOOKUP(tblAlocacao[[#This Row],[TURMA]],tblTurmas[CODIGO_TURMA],tblTurmas[INTERVALO],"")</f>
        <v>#VALUE!</v>
      </c>
    </row>
    <row r="51" spans="1:17" x14ac:dyDescent="0.35">
      <c r="A51">
        <v>50</v>
      </c>
      <c r="B51" s="2"/>
      <c r="C51" t="str">
        <f>_xlfn.XLOOKUP(tblAlocacao[[#This Row],[TURMA]],tblTurmas[CODIGO_TURMA],tblTurmas[ID_TURMA],"")</f>
        <v/>
      </c>
      <c r="E51" t="str">
        <f>_xlfn.XLOOKUP(tblAlocacao[[#This Row],[DISCIPLINA]],tblDisciplinas[NOME_DISCIPLINA],tblDisciplinas[ID_DISCIPLINA],"")</f>
        <v/>
      </c>
      <c r="F51" s="40"/>
      <c r="G51" t="str">
        <f>_xlfn.XLOOKUP(tblAlocacao[[#This Row],[Nome do Instrutor]],tblInstrutores[NOME_COMPLETO],tblInstrutores[ID],"")</f>
        <v/>
      </c>
      <c r="H51" t="str">
        <f>_xlfn.XLOOKUP(tblAlocacao[[#This Row],[TURMA]],tblTurmas[CODIGO_TURMA],tblTurmas[INSTRUTOR],"")</f>
        <v/>
      </c>
      <c r="I51" t="str">
        <f>_xlfn.XLOOKUP(tblAlocacao[[#This Row],[AMBIENTE]],tblAmbientes[NOME_AMBIENTE],tblAmbientes[ID],"")</f>
        <v/>
      </c>
      <c r="K51" t="str">
        <f>_xlfn.XLOOKUP(tblAlocacao[[#This Row],['#VALOR!]],tblTurnos[TURNO],tblTurnos[ID_TURNO],"")</f>
        <v/>
      </c>
      <c r="L51" t="str">
        <f>_xlfn.XLOOKUP(tblAlocacao[[#This Row],[TURMA]],tblTurmas[CODIGO_TURMA],tblTurmas[TURNO],"")</f>
        <v/>
      </c>
      <c r="M51" t="str">
        <f>_xlfn.XLOOKUP(tblAlocacao[[#This Row],[MODALIDADE]], tblModalidades[MODALIDADE], tblModalidades[ID_MODALIDADE],"")</f>
        <v/>
      </c>
      <c r="O51" s="32"/>
      <c r="P51" s="32"/>
      <c r="Q51" s="33" t="e">
        <f>($P51-$O51)-_xlfn.XLOOKUP(tblAlocacao[[#This Row],[TURMA]],tblTurmas[CODIGO_TURMA],tblTurmas[INTERVALO],"")</f>
        <v>#VALUE!</v>
      </c>
    </row>
    <row r="52" spans="1:17" x14ac:dyDescent="0.35">
      <c r="A52">
        <v>51</v>
      </c>
      <c r="B52" s="2"/>
      <c r="C52" t="str">
        <f>_xlfn.XLOOKUP(tblAlocacao[[#This Row],[TURMA]],tblTurmas[CODIGO_TURMA],tblTurmas[ID_TURMA],"")</f>
        <v/>
      </c>
      <c r="E52" t="str">
        <f>_xlfn.XLOOKUP(tblAlocacao[[#This Row],[DISCIPLINA]],tblDisciplinas[NOME_DISCIPLINA],tblDisciplinas[ID_DISCIPLINA],"")</f>
        <v/>
      </c>
      <c r="F52" s="40"/>
      <c r="G52" t="str">
        <f>_xlfn.XLOOKUP(tblAlocacao[[#This Row],[Nome do Instrutor]],tblInstrutores[NOME_COMPLETO],tblInstrutores[ID],"")</f>
        <v/>
      </c>
      <c r="H52" t="str">
        <f>_xlfn.XLOOKUP(tblAlocacao[[#This Row],[TURMA]],tblTurmas[CODIGO_TURMA],tblTurmas[INSTRUTOR],"")</f>
        <v/>
      </c>
      <c r="I52" t="str">
        <f>_xlfn.XLOOKUP(tblAlocacao[[#This Row],[AMBIENTE]],tblAmbientes[NOME_AMBIENTE],tblAmbientes[ID],"")</f>
        <v/>
      </c>
      <c r="K52" t="str">
        <f>_xlfn.XLOOKUP(tblAlocacao[[#This Row],['#VALOR!]],tblTurnos[TURNO],tblTurnos[ID_TURNO],"")</f>
        <v/>
      </c>
      <c r="L52" t="str">
        <f>_xlfn.XLOOKUP(tblAlocacao[[#This Row],[TURMA]],tblTurmas[CODIGO_TURMA],tblTurmas[TURNO],"")</f>
        <v/>
      </c>
      <c r="M52" t="str">
        <f>_xlfn.XLOOKUP(tblAlocacao[[#This Row],[MODALIDADE]], tblModalidades[MODALIDADE], tblModalidades[ID_MODALIDADE],"")</f>
        <v/>
      </c>
      <c r="O52" s="32"/>
      <c r="P52" s="32"/>
      <c r="Q52" s="33" t="e">
        <f>($P52-$O52)-_xlfn.XLOOKUP(tblAlocacao[[#This Row],[TURMA]],tblTurmas[CODIGO_TURMA],tblTurmas[INTERVALO],"")</f>
        <v>#VALUE!</v>
      </c>
    </row>
    <row r="53" spans="1:17" x14ac:dyDescent="0.35">
      <c r="A53">
        <v>52</v>
      </c>
      <c r="B53" s="2"/>
      <c r="C53" t="str">
        <f>_xlfn.XLOOKUP(tblAlocacao[[#This Row],[TURMA]],tblTurmas[CODIGO_TURMA],tblTurmas[ID_TURMA],"")</f>
        <v/>
      </c>
      <c r="E53" t="str">
        <f>_xlfn.XLOOKUP(tblAlocacao[[#This Row],[DISCIPLINA]],tblDisciplinas[NOME_DISCIPLINA],tblDisciplinas[ID_DISCIPLINA],"")</f>
        <v/>
      </c>
      <c r="F53" s="40"/>
      <c r="G53" t="str">
        <f>_xlfn.XLOOKUP(tblAlocacao[[#This Row],[Nome do Instrutor]],tblInstrutores[NOME_COMPLETO],tblInstrutores[ID],"")</f>
        <v/>
      </c>
      <c r="H53" t="str">
        <f>_xlfn.XLOOKUP(tblAlocacao[[#This Row],[TURMA]],tblTurmas[CODIGO_TURMA],tblTurmas[INSTRUTOR],"")</f>
        <v/>
      </c>
      <c r="I53" t="str">
        <f>_xlfn.XLOOKUP(tblAlocacao[[#This Row],[AMBIENTE]],tblAmbientes[NOME_AMBIENTE],tblAmbientes[ID],"")</f>
        <v/>
      </c>
      <c r="K53" t="str">
        <f>_xlfn.XLOOKUP(tblAlocacao[[#This Row],['#VALOR!]],tblTurnos[TURNO],tblTurnos[ID_TURNO],"")</f>
        <v/>
      </c>
      <c r="L53" t="str">
        <f>_xlfn.XLOOKUP(tblAlocacao[[#This Row],[TURMA]],tblTurmas[CODIGO_TURMA],tblTurmas[TURNO],"")</f>
        <v/>
      </c>
      <c r="M53" t="str">
        <f>_xlfn.XLOOKUP(tblAlocacao[[#This Row],[MODALIDADE]], tblModalidades[MODALIDADE], tblModalidades[ID_MODALIDADE],"")</f>
        <v/>
      </c>
      <c r="O53" s="32"/>
      <c r="P53" s="32"/>
      <c r="Q53" s="33" t="e">
        <f>($P53-$O53)-_xlfn.XLOOKUP(tblAlocacao[[#This Row],[TURMA]],tblTurmas[CODIGO_TURMA],tblTurmas[INTERVALO],"")</f>
        <v>#VALUE!</v>
      </c>
    </row>
    <row r="54" spans="1:17" x14ac:dyDescent="0.35">
      <c r="A54">
        <v>53</v>
      </c>
      <c r="B54" s="2"/>
      <c r="C54" t="str">
        <f>_xlfn.XLOOKUP(tblAlocacao[[#This Row],[TURMA]],tblTurmas[CODIGO_TURMA],tblTurmas[ID_TURMA],"")</f>
        <v/>
      </c>
      <c r="E54" t="str">
        <f>_xlfn.XLOOKUP(tblAlocacao[[#This Row],[DISCIPLINA]],tblDisciplinas[NOME_DISCIPLINA],tblDisciplinas[ID_DISCIPLINA],"")</f>
        <v/>
      </c>
      <c r="F54" s="40"/>
      <c r="G54" t="str">
        <f>_xlfn.XLOOKUP(tblAlocacao[[#This Row],[Nome do Instrutor]],tblInstrutores[NOME_COMPLETO],tblInstrutores[ID],"")</f>
        <v/>
      </c>
      <c r="H54" t="str">
        <f>_xlfn.XLOOKUP(tblAlocacao[[#This Row],[TURMA]],tblTurmas[CODIGO_TURMA],tblTurmas[INSTRUTOR],"")</f>
        <v/>
      </c>
      <c r="I54" t="str">
        <f>_xlfn.XLOOKUP(tblAlocacao[[#This Row],[AMBIENTE]],tblAmbientes[NOME_AMBIENTE],tblAmbientes[ID],"")</f>
        <v/>
      </c>
      <c r="K54" t="str">
        <f>_xlfn.XLOOKUP(tblAlocacao[[#This Row],['#VALOR!]],tblTurnos[TURNO],tblTurnos[ID_TURNO],"")</f>
        <v/>
      </c>
      <c r="L54" t="str">
        <f>_xlfn.XLOOKUP(tblAlocacao[[#This Row],[TURMA]],tblTurmas[CODIGO_TURMA],tblTurmas[TURNO],"")</f>
        <v/>
      </c>
      <c r="M54" t="str">
        <f>_xlfn.XLOOKUP(tblAlocacao[[#This Row],[MODALIDADE]], tblModalidades[MODALIDADE], tblModalidades[ID_MODALIDADE],"")</f>
        <v/>
      </c>
      <c r="O54" s="32"/>
      <c r="P54" s="32"/>
      <c r="Q54" s="33" t="e">
        <f>($P54-$O54)-_xlfn.XLOOKUP(tblAlocacao[[#This Row],[TURMA]],tblTurmas[CODIGO_TURMA],tblTurmas[INTERVALO],"")</f>
        <v>#VALUE!</v>
      </c>
    </row>
    <row r="55" spans="1:17" x14ac:dyDescent="0.35">
      <c r="A55">
        <v>54</v>
      </c>
      <c r="B55" s="2"/>
      <c r="C55" t="str">
        <f>_xlfn.XLOOKUP(tblAlocacao[[#This Row],[TURMA]],tblTurmas[CODIGO_TURMA],tblTurmas[ID_TURMA],"")</f>
        <v/>
      </c>
      <c r="E55" t="str">
        <f>_xlfn.XLOOKUP(tblAlocacao[[#This Row],[DISCIPLINA]],tblDisciplinas[NOME_DISCIPLINA],tblDisciplinas[ID_DISCIPLINA],"")</f>
        <v/>
      </c>
      <c r="F55" s="40"/>
      <c r="G55" t="str">
        <f>_xlfn.XLOOKUP(tblAlocacao[[#This Row],[Nome do Instrutor]],tblInstrutores[NOME_COMPLETO],tblInstrutores[ID],"")</f>
        <v/>
      </c>
      <c r="H55" t="str">
        <f>_xlfn.XLOOKUP(tblAlocacao[[#This Row],[TURMA]],tblTurmas[CODIGO_TURMA],tblTurmas[INSTRUTOR],"")</f>
        <v/>
      </c>
      <c r="I55" t="str">
        <f>_xlfn.XLOOKUP(tblAlocacao[[#This Row],[AMBIENTE]],tblAmbientes[NOME_AMBIENTE],tblAmbientes[ID],"")</f>
        <v/>
      </c>
      <c r="K55" t="str">
        <f>_xlfn.XLOOKUP(tblAlocacao[[#This Row],['#VALOR!]],tblTurnos[TURNO],tblTurnos[ID_TURNO],"")</f>
        <v/>
      </c>
      <c r="L55" t="str">
        <f>_xlfn.XLOOKUP(tblAlocacao[[#This Row],[TURMA]],tblTurmas[CODIGO_TURMA],tblTurmas[TURNO],"")</f>
        <v/>
      </c>
      <c r="M55" t="str">
        <f>_xlfn.XLOOKUP(tblAlocacao[[#This Row],[MODALIDADE]], tblModalidades[MODALIDADE], tblModalidades[ID_MODALIDADE],"")</f>
        <v/>
      </c>
      <c r="O55" s="32"/>
      <c r="P55" s="32"/>
      <c r="Q55" s="33" t="e">
        <f>($P55-$O55)-_xlfn.XLOOKUP(tblAlocacao[[#This Row],[TURMA]],tblTurmas[CODIGO_TURMA],tblTurmas[INTERVALO],"")</f>
        <v>#VALUE!</v>
      </c>
    </row>
    <row r="56" spans="1:17" x14ac:dyDescent="0.35">
      <c r="A56">
        <v>55</v>
      </c>
      <c r="B56" s="2"/>
      <c r="C56" t="str">
        <f>_xlfn.XLOOKUP(tblAlocacao[[#This Row],[TURMA]],tblTurmas[CODIGO_TURMA],tblTurmas[ID_TURMA],"")</f>
        <v/>
      </c>
      <c r="E56" t="str">
        <f>_xlfn.XLOOKUP(tblAlocacao[[#This Row],[DISCIPLINA]],tblDisciplinas[NOME_DISCIPLINA],tblDisciplinas[ID_DISCIPLINA],"")</f>
        <v/>
      </c>
      <c r="F56" s="40"/>
      <c r="G56" t="str">
        <f>_xlfn.XLOOKUP(tblAlocacao[[#This Row],[Nome do Instrutor]],tblInstrutores[NOME_COMPLETO],tblInstrutores[ID],"")</f>
        <v/>
      </c>
      <c r="H56" t="str">
        <f>_xlfn.XLOOKUP(tblAlocacao[[#This Row],[TURMA]],tblTurmas[CODIGO_TURMA],tblTurmas[INSTRUTOR],"")</f>
        <v/>
      </c>
      <c r="I56" t="str">
        <f>_xlfn.XLOOKUP(tblAlocacao[[#This Row],[AMBIENTE]],tblAmbientes[NOME_AMBIENTE],tblAmbientes[ID],"")</f>
        <v/>
      </c>
      <c r="K56" t="str">
        <f>_xlfn.XLOOKUP(tblAlocacao[[#This Row],['#VALOR!]],tblTurnos[TURNO],tblTurnos[ID_TURNO],"")</f>
        <v/>
      </c>
      <c r="L56" t="str">
        <f>_xlfn.XLOOKUP(tblAlocacao[[#This Row],[TURMA]],tblTurmas[CODIGO_TURMA],tblTurmas[TURNO],"")</f>
        <v/>
      </c>
      <c r="M56" t="str">
        <f>_xlfn.XLOOKUP(tblAlocacao[[#This Row],[MODALIDADE]], tblModalidades[MODALIDADE], tblModalidades[ID_MODALIDADE],"")</f>
        <v/>
      </c>
      <c r="O56" s="32"/>
      <c r="P56" s="32"/>
      <c r="Q56" s="33" t="e">
        <f>($P56-$O56)-_xlfn.XLOOKUP(tblAlocacao[[#This Row],[TURMA]],tblTurmas[CODIGO_TURMA],tblTurmas[INTERVALO],"")</f>
        <v>#VALUE!</v>
      </c>
    </row>
    <row r="57" spans="1:17" x14ac:dyDescent="0.35">
      <c r="A57">
        <v>56</v>
      </c>
      <c r="B57" s="2"/>
      <c r="C57" t="str">
        <f>_xlfn.XLOOKUP(tblAlocacao[[#This Row],[TURMA]],tblTurmas[CODIGO_TURMA],tblTurmas[ID_TURMA],"")</f>
        <v/>
      </c>
      <c r="E57" t="str">
        <f>_xlfn.XLOOKUP(tblAlocacao[[#This Row],[DISCIPLINA]],tblDisciplinas[NOME_DISCIPLINA],tblDisciplinas[ID_DISCIPLINA],"")</f>
        <v/>
      </c>
      <c r="F57" s="40"/>
      <c r="G57" t="str">
        <f>_xlfn.XLOOKUP(tblAlocacao[[#This Row],[Nome do Instrutor]],tblInstrutores[NOME_COMPLETO],tblInstrutores[ID],"")</f>
        <v/>
      </c>
      <c r="H57" t="str">
        <f>_xlfn.XLOOKUP(tblAlocacao[[#This Row],[TURMA]],tblTurmas[CODIGO_TURMA],tblTurmas[INSTRUTOR],"")</f>
        <v/>
      </c>
      <c r="I57" t="str">
        <f>_xlfn.XLOOKUP(tblAlocacao[[#This Row],[AMBIENTE]],tblAmbientes[NOME_AMBIENTE],tblAmbientes[ID],"")</f>
        <v/>
      </c>
      <c r="K57" t="str">
        <f>_xlfn.XLOOKUP(tblAlocacao[[#This Row],['#VALOR!]],tblTurnos[TURNO],tblTurnos[ID_TURNO],"")</f>
        <v/>
      </c>
      <c r="L57" t="str">
        <f>_xlfn.XLOOKUP(tblAlocacao[[#This Row],[TURMA]],tblTurmas[CODIGO_TURMA],tblTurmas[TURNO],"")</f>
        <v/>
      </c>
      <c r="M57" t="str">
        <f>_xlfn.XLOOKUP(tblAlocacao[[#This Row],[MODALIDADE]], tblModalidades[MODALIDADE], tblModalidades[ID_MODALIDADE],"")</f>
        <v/>
      </c>
      <c r="O57" s="32"/>
      <c r="P57" s="32"/>
      <c r="Q57" s="33" t="e">
        <f>($P57-$O57)-_xlfn.XLOOKUP(tblAlocacao[[#This Row],[TURMA]],tblTurmas[CODIGO_TURMA],tblTurmas[INTERVALO],"")</f>
        <v>#VALUE!</v>
      </c>
    </row>
    <row r="58" spans="1:17" x14ac:dyDescent="0.35">
      <c r="A58">
        <v>57</v>
      </c>
      <c r="B58" s="2"/>
      <c r="C58" t="str">
        <f>_xlfn.XLOOKUP(tblAlocacao[[#This Row],[TURMA]],tblTurmas[CODIGO_TURMA],tblTurmas[ID_TURMA],"")</f>
        <v/>
      </c>
      <c r="E58" t="str">
        <f>_xlfn.XLOOKUP(tblAlocacao[[#This Row],[DISCIPLINA]],tblDisciplinas[NOME_DISCIPLINA],tblDisciplinas[ID_DISCIPLINA],"")</f>
        <v/>
      </c>
      <c r="F58" s="40"/>
      <c r="G58" t="str">
        <f>_xlfn.XLOOKUP(tblAlocacao[[#This Row],[Nome do Instrutor]],tblInstrutores[NOME_COMPLETO],tblInstrutores[ID],"")</f>
        <v/>
      </c>
      <c r="H58" t="str">
        <f>_xlfn.XLOOKUP(tblAlocacao[[#This Row],[TURMA]],tblTurmas[CODIGO_TURMA],tblTurmas[INSTRUTOR],"")</f>
        <v/>
      </c>
      <c r="I58" t="str">
        <f>_xlfn.XLOOKUP(tblAlocacao[[#This Row],[AMBIENTE]],tblAmbientes[NOME_AMBIENTE],tblAmbientes[ID],"")</f>
        <v/>
      </c>
      <c r="K58" t="str">
        <f>_xlfn.XLOOKUP(tblAlocacao[[#This Row],['#VALOR!]],tblTurnos[TURNO],tblTurnos[ID_TURNO],"")</f>
        <v/>
      </c>
      <c r="L58" t="str">
        <f>_xlfn.XLOOKUP(tblAlocacao[[#This Row],[TURMA]],tblTurmas[CODIGO_TURMA],tblTurmas[TURNO],"")</f>
        <v/>
      </c>
      <c r="M58" t="str">
        <f>_xlfn.XLOOKUP(tblAlocacao[[#This Row],[MODALIDADE]], tblModalidades[MODALIDADE], tblModalidades[ID_MODALIDADE],"")</f>
        <v/>
      </c>
      <c r="O58" s="32"/>
      <c r="P58" s="32"/>
      <c r="Q58" s="33" t="e">
        <f>($P58-$O58)-_xlfn.XLOOKUP(tblAlocacao[[#This Row],[TURMA]],tblTurmas[CODIGO_TURMA],tblTurmas[INTERVALO],"")</f>
        <v>#VALUE!</v>
      </c>
    </row>
    <row r="59" spans="1:17" x14ac:dyDescent="0.35">
      <c r="A59">
        <v>58</v>
      </c>
      <c r="B59" s="2"/>
      <c r="C59" t="str">
        <f>_xlfn.XLOOKUP(tblAlocacao[[#This Row],[TURMA]],tblTurmas[CODIGO_TURMA],tblTurmas[ID_TURMA],"")</f>
        <v/>
      </c>
      <c r="E59" t="str">
        <f>_xlfn.XLOOKUP(tblAlocacao[[#This Row],[DISCIPLINA]],tblDisciplinas[NOME_DISCIPLINA],tblDisciplinas[ID_DISCIPLINA],"")</f>
        <v/>
      </c>
      <c r="F59" s="40"/>
      <c r="G59" t="str">
        <f>_xlfn.XLOOKUP(tblAlocacao[[#This Row],[Nome do Instrutor]],tblInstrutores[NOME_COMPLETO],tblInstrutores[ID],"")</f>
        <v/>
      </c>
      <c r="H59" t="str">
        <f>_xlfn.XLOOKUP(tblAlocacao[[#This Row],[TURMA]],tblTurmas[CODIGO_TURMA],tblTurmas[INSTRUTOR],"")</f>
        <v/>
      </c>
      <c r="I59" t="str">
        <f>_xlfn.XLOOKUP(tblAlocacao[[#This Row],[AMBIENTE]],tblAmbientes[NOME_AMBIENTE],tblAmbientes[ID],"")</f>
        <v/>
      </c>
      <c r="K59" t="str">
        <f>_xlfn.XLOOKUP(tblAlocacao[[#This Row],['#VALOR!]],tblTurnos[TURNO],tblTurnos[ID_TURNO],"")</f>
        <v/>
      </c>
      <c r="L59" t="str">
        <f>_xlfn.XLOOKUP(tblAlocacao[[#This Row],[TURMA]],tblTurmas[CODIGO_TURMA],tblTurmas[TURNO],"")</f>
        <v/>
      </c>
      <c r="M59" t="str">
        <f>_xlfn.XLOOKUP(tblAlocacao[[#This Row],[MODALIDADE]], tblModalidades[MODALIDADE], tblModalidades[ID_MODALIDADE],"")</f>
        <v/>
      </c>
      <c r="O59" s="32"/>
      <c r="P59" s="32"/>
      <c r="Q59" s="33" t="e">
        <f>($P59-$O59)-_xlfn.XLOOKUP(tblAlocacao[[#This Row],[TURMA]],tblTurmas[CODIGO_TURMA],tblTurmas[INTERVALO],"")</f>
        <v>#VALUE!</v>
      </c>
    </row>
    <row r="60" spans="1:17" x14ac:dyDescent="0.35">
      <c r="A60">
        <v>59</v>
      </c>
      <c r="B60" s="2"/>
      <c r="C60" t="str">
        <f>_xlfn.XLOOKUP(tblAlocacao[[#This Row],[TURMA]],tblTurmas[CODIGO_TURMA],tblTurmas[ID_TURMA],"")</f>
        <v/>
      </c>
      <c r="E60" t="str">
        <f>_xlfn.XLOOKUP(tblAlocacao[[#This Row],[DISCIPLINA]],tblDisciplinas[NOME_DISCIPLINA],tblDisciplinas[ID_DISCIPLINA],"")</f>
        <v/>
      </c>
      <c r="F60" s="40"/>
      <c r="G60" t="str">
        <f>_xlfn.XLOOKUP(tblAlocacao[[#This Row],[Nome do Instrutor]],tblInstrutores[NOME_COMPLETO],tblInstrutores[ID],"")</f>
        <v/>
      </c>
      <c r="H60" t="str">
        <f>_xlfn.XLOOKUP(tblAlocacao[[#This Row],[TURMA]],tblTurmas[CODIGO_TURMA],tblTurmas[INSTRUTOR],"")</f>
        <v/>
      </c>
      <c r="I60" t="str">
        <f>_xlfn.XLOOKUP(tblAlocacao[[#This Row],[AMBIENTE]],tblAmbientes[NOME_AMBIENTE],tblAmbientes[ID],"")</f>
        <v/>
      </c>
      <c r="K60" t="str">
        <f>_xlfn.XLOOKUP(tblAlocacao[[#This Row],['#VALOR!]],tblTurnos[TURNO],tblTurnos[ID_TURNO],"")</f>
        <v/>
      </c>
      <c r="L60" t="str">
        <f>_xlfn.XLOOKUP(tblAlocacao[[#This Row],[TURMA]],tblTurmas[CODIGO_TURMA],tblTurmas[TURNO],"")</f>
        <v/>
      </c>
      <c r="M60" t="str">
        <f>_xlfn.XLOOKUP(tblAlocacao[[#This Row],[MODALIDADE]], tblModalidades[MODALIDADE], tblModalidades[ID_MODALIDADE],"")</f>
        <v/>
      </c>
      <c r="O60" s="32"/>
      <c r="P60" s="32"/>
      <c r="Q60" s="33" t="e">
        <f>($P60-$O60)-_xlfn.XLOOKUP(tblAlocacao[[#This Row],[TURMA]],tblTurmas[CODIGO_TURMA],tblTurmas[INTERVALO],"")</f>
        <v>#VALUE!</v>
      </c>
    </row>
    <row r="61" spans="1:17" x14ac:dyDescent="0.35">
      <c r="A61">
        <v>60</v>
      </c>
      <c r="B61" s="2"/>
      <c r="C61" t="str">
        <f>_xlfn.XLOOKUP(tblAlocacao[[#This Row],[TURMA]],tblTurmas[CODIGO_TURMA],tblTurmas[ID_TURMA],"")</f>
        <v/>
      </c>
      <c r="E61" t="str">
        <f>_xlfn.XLOOKUP(tblAlocacao[[#This Row],[DISCIPLINA]],tblDisciplinas[NOME_DISCIPLINA],tblDisciplinas[ID_DISCIPLINA],"")</f>
        <v/>
      </c>
      <c r="F61" s="40"/>
      <c r="G61" t="str">
        <f>_xlfn.XLOOKUP(tblAlocacao[[#This Row],[Nome do Instrutor]],tblInstrutores[NOME_COMPLETO],tblInstrutores[ID],"")</f>
        <v/>
      </c>
      <c r="H61" t="str">
        <f>_xlfn.XLOOKUP(tblAlocacao[[#This Row],[TURMA]],tblTurmas[CODIGO_TURMA],tblTurmas[INSTRUTOR],"")</f>
        <v/>
      </c>
      <c r="I61" t="str">
        <f>_xlfn.XLOOKUP(tblAlocacao[[#This Row],[AMBIENTE]],tblAmbientes[NOME_AMBIENTE],tblAmbientes[ID],"")</f>
        <v/>
      </c>
      <c r="K61" t="str">
        <f>_xlfn.XLOOKUP(tblAlocacao[[#This Row],['#VALOR!]],tblTurnos[TURNO],tblTurnos[ID_TURNO],"")</f>
        <v/>
      </c>
      <c r="L61" t="str">
        <f>_xlfn.XLOOKUP(tblAlocacao[[#This Row],[TURMA]],tblTurmas[CODIGO_TURMA],tblTurmas[TURNO],"")</f>
        <v/>
      </c>
      <c r="M61" t="str">
        <f>_xlfn.XLOOKUP(tblAlocacao[[#This Row],[MODALIDADE]], tblModalidades[MODALIDADE], tblModalidades[ID_MODALIDADE],"")</f>
        <v/>
      </c>
      <c r="O61" s="32"/>
      <c r="P61" s="32"/>
      <c r="Q61" s="33" t="e">
        <f>($P61-$O61)-_xlfn.XLOOKUP(tblAlocacao[[#This Row],[TURMA]],tblTurmas[CODIGO_TURMA],tblTurmas[INTERVALO],"")</f>
        <v>#VALUE!</v>
      </c>
    </row>
    <row r="62" spans="1:17" x14ac:dyDescent="0.35">
      <c r="A62">
        <v>61</v>
      </c>
      <c r="B62" s="2"/>
      <c r="C62" t="str">
        <f>_xlfn.XLOOKUP(tblAlocacao[[#This Row],[TURMA]],tblTurmas[CODIGO_TURMA],tblTurmas[ID_TURMA],"")</f>
        <v/>
      </c>
      <c r="E62" t="str">
        <f>_xlfn.XLOOKUP(tblAlocacao[[#This Row],[DISCIPLINA]],tblDisciplinas[NOME_DISCIPLINA],tblDisciplinas[ID_DISCIPLINA],"")</f>
        <v/>
      </c>
      <c r="F62" s="40"/>
      <c r="G62" t="str">
        <f>_xlfn.XLOOKUP(tblAlocacao[[#This Row],[Nome do Instrutor]],tblInstrutores[NOME_COMPLETO],tblInstrutores[ID],"")</f>
        <v/>
      </c>
      <c r="H62" t="str">
        <f>_xlfn.XLOOKUP(tblAlocacao[[#This Row],[TURMA]],tblTurmas[CODIGO_TURMA],tblTurmas[INSTRUTOR],"")</f>
        <v/>
      </c>
      <c r="I62" t="str">
        <f>_xlfn.XLOOKUP(tblAlocacao[[#This Row],[AMBIENTE]],tblAmbientes[NOME_AMBIENTE],tblAmbientes[ID],"")</f>
        <v/>
      </c>
      <c r="K62" t="str">
        <f>_xlfn.XLOOKUP(tblAlocacao[[#This Row],['#VALOR!]],tblTurnos[TURNO],tblTurnos[ID_TURNO],"")</f>
        <v/>
      </c>
      <c r="L62" t="str">
        <f>_xlfn.XLOOKUP(tblAlocacao[[#This Row],[TURMA]],tblTurmas[CODIGO_TURMA],tblTurmas[TURNO],"")</f>
        <v/>
      </c>
      <c r="M62" t="str">
        <f>_xlfn.XLOOKUP(tblAlocacao[[#This Row],[MODALIDADE]], tblModalidades[MODALIDADE], tblModalidades[ID_MODALIDADE],"")</f>
        <v/>
      </c>
      <c r="O62" s="32"/>
      <c r="P62" s="32"/>
      <c r="Q62" s="33" t="e">
        <f>($P62-$O62)-_xlfn.XLOOKUP(tblAlocacao[[#This Row],[TURMA]],tblTurmas[CODIGO_TURMA],tblTurmas[INTERVALO],"")</f>
        <v>#VALUE!</v>
      </c>
    </row>
    <row r="63" spans="1:17" x14ac:dyDescent="0.35">
      <c r="A63">
        <v>62</v>
      </c>
      <c r="B63" s="2"/>
      <c r="C63" t="str">
        <f>_xlfn.XLOOKUP(tblAlocacao[[#This Row],[TURMA]],tblTurmas[CODIGO_TURMA],tblTurmas[ID_TURMA],"")</f>
        <v/>
      </c>
      <c r="E63" t="str">
        <f>_xlfn.XLOOKUP(tblAlocacao[[#This Row],[DISCIPLINA]],tblDisciplinas[NOME_DISCIPLINA],tblDisciplinas[ID_DISCIPLINA],"")</f>
        <v/>
      </c>
      <c r="F63" s="40"/>
      <c r="G63" t="str">
        <f>_xlfn.XLOOKUP(tblAlocacao[[#This Row],[Nome do Instrutor]],tblInstrutores[NOME_COMPLETO],tblInstrutores[ID],"")</f>
        <v/>
      </c>
      <c r="H63" t="str">
        <f>_xlfn.XLOOKUP(tblAlocacao[[#This Row],[TURMA]],tblTurmas[CODIGO_TURMA],tblTurmas[INSTRUTOR],"")</f>
        <v/>
      </c>
      <c r="I63" t="str">
        <f>_xlfn.XLOOKUP(tblAlocacao[[#This Row],[AMBIENTE]],tblAmbientes[NOME_AMBIENTE],tblAmbientes[ID],"")</f>
        <v/>
      </c>
      <c r="K63" t="str">
        <f>_xlfn.XLOOKUP(tblAlocacao[[#This Row],['#VALOR!]],tblTurnos[TURNO],tblTurnos[ID_TURNO],"")</f>
        <v/>
      </c>
      <c r="L63" t="str">
        <f>_xlfn.XLOOKUP(tblAlocacao[[#This Row],[TURMA]],tblTurmas[CODIGO_TURMA],tblTurmas[TURNO],"")</f>
        <v/>
      </c>
      <c r="M63" t="str">
        <f>_xlfn.XLOOKUP(tblAlocacao[[#This Row],[MODALIDADE]], tblModalidades[MODALIDADE], tblModalidades[ID_MODALIDADE],"")</f>
        <v/>
      </c>
      <c r="O63" s="32"/>
      <c r="P63" s="32"/>
      <c r="Q63" s="33" t="e">
        <f>($P63-$O63)-_xlfn.XLOOKUP(tblAlocacao[[#This Row],[TURMA]],tblTurmas[CODIGO_TURMA],tblTurmas[INTERVALO],"")</f>
        <v>#VALUE!</v>
      </c>
    </row>
    <row r="64" spans="1:17" x14ac:dyDescent="0.35">
      <c r="A64">
        <v>63</v>
      </c>
      <c r="B64" s="2"/>
      <c r="C64" t="str">
        <f>_xlfn.XLOOKUP(tblAlocacao[[#This Row],[TURMA]],tblTurmas[CODIGO_TURMA],tblTurmas[ID_TURMA],"")</f>
        <v/>
      </c>
      <c r="E64" t="str">
        <f>_xlfn.XLOOKUP(tblAlocacao[[#This Row],[DISCIPLINA]],tblDisciplinas[NOME_DISCIPLINA],tblDisciplinas[ID_DISCIPLINA],"")</f>
        <v/>
      </c>
      <c r="F64" s="40"/>
      <c r="G64" t="str">
        <f>_xlfn.XLOOKUP(tblAlocacao[[#This Row],[Nome do Instrutor]],tblInstrutores[NOME_COMPLETO],tblInstrutores[ID],"")</f>
        <v/>
      </c>
      <c r="H64" t="str">
        <f>_xlfn.XLOOKUP(tblAlocacao[[#This Row],[TURMA]],tblTurmas[CODIGO_TURMA],tblTurmas[INSTRUTOR],"")</f>
        <v/>
      </c>
      <c r="I64" t="str">
        <f>_xlfn.XLOOKUP(tblAlocacao[[#This Row],[AMBIENTE]],tblAmbientes[NOME_AMBIENTE],tblAmbientes[ID],"")</f>
        <v/>
      </c>
      <c r="K64" t="str">
        <f>_xlfn.XLOOKUP(tblAlocacao[[#This Row],['#VALOR!]],tblTurnos[TURNO],tblTurnos[ID_TURNO],"")</f>
        <v/>
      </c>
      <c r="L64" t="str">
        <f>_xlfn.XLOOKUP(tblAlocacao[[#This Row],[TURMA]],tblTurmas[CODIGO_TURMA],tblTurmas[TURNO],"")</f>
        <v/>
      </c>
      <c r="M64" t="str">
        <f>_xlfn.XLOOKUP(tblAlocacao[[#This Row],[MODALIDADE]], tblModalidades[MODALIDADE], tblModalidades[ID_MODALIDADE],"")</f>
        <v/>
      </c>
      <c r="O64" s="32"/>
      <c r="P64" s="32"/>
      <c r="Q64" s="33" t="e">
        <f>($P64-$O64)-_xlfn.XLOOKUP(tblAlocacao[[#This Row],[TURMA]],tblTurmas[CODIGO_TURMA],tblTurmas[INTERVALO],"")</f>
        <v>#VALUE!</v>
      </c>
    </row>
    <row r="65" spans="1:17" x14ac:dyDescent="0.35">
      <c r="A65">
        <v>64</v>
      </c>
      <c r="B65" s="2"/>
      <c r="C65" t="str">
        <f>_xlfn.XLOOKUP(tblAlocacao[[#This Row],[TURMA]],tblTurmas[CODIGO_TURMA],tblTurmas[ID_TURMA],"")</f>
        <v/>
      </c>
      <c r="E65" t="str">
        <f>_xlfn.XLOOKUP(tblAlocacao[[#This Row],[DISCIPLINA]],tblDisciplinas[NOME_DISCIPLINA],tblDisciplinas[ID_DISCIPLINA],"")</f>
        <v/>
      </c>
      <c r="F65" s="40"/>
      <c r="G65" t="str">
        <f>_xlfn.XLOOKUP(tblAlocacao[[#This Row],[Nome do Instrutor]],tblInstrutores[NOME_COMPLETO],tblInstrutores[ID],"")</f>
        <v/>
      </c>
      <c r="H65" t="str">
        <f>_xlfn.XLOOKUP(tblAlocacao[[#This Row],[TURMA]],tblTurmas[CODIGO_TURMA],tblTurmas[INSTRUTOR],"")</f>
        <v/>
      </c>
      <c r="I65" t="str">
        <f>_xlfn.XLOOKUP(tblAlocacao[[#This Row],[AMBIENTE]],tblAmbientes[NOME_AMBIENTE],tblAmbientes[ID],"")</f>
        <v/>
      </c>
      <c r="K65" t="str">
        <f>_xlfn.XLOOKUP(tblAlocacao[[#This Row],['#VALOR!]],tblTurnos[TURNO],tblTurnos[ID_TURNO],"")</f>
        <v/>
      </c>
      <c r="L65" t="str">
        <f>_xlfn.XLOOKUP(tblAlocacao[[#This Row],[TURMA]],tblTurmas[CODIGO_TURMA],tblTurmas[TURNO],"")</f>
        <v/>
      </c>
      <c r="M65" t="str">
        <f>_xlfn.XLOOKUP(tblAlocacao[[#This Row],[MODALIDADE]], tblModalidades[MODALIDADE], tblModalidades[ID_MODALIDADE],"")</f>
        <v/>
      </c>
      <c r="O65" s="32"/>
      <c r="P65" s="32"/>
      <c r="Q65" s="33" t="e">
        <f>($P65-$O65)-_xlfn.XLOOKUP(tblAlocacao[[#This Row],[TURMA]],tblTurmas[CODIGO_TURMA],tblTurmas[INTERVALO],"")</f>
        <v>#VALUE!</v>
      </c>
    </row>
    <row r="66" spans="1:17" x14ac:dyDescent="0.35">
      <c r="A66">
        <v>65</v>
      </c>
      <c r="B66" s="2"/>
      <c r="C66" t="str">
        <f>_xlfn.XLOOKUP(tblAlocacao[[#This Row],[TURMA]],tblTurmas[CODIGO_TURMA],tblTurmas[ID_TURMA],"")</f>
        <v/>
      </c>
      <c r="E66" t="str">
        <f>_xlfn.XLOOKUP(tblAlocacao[[#This Row],[DISCIPLINA]],tblDisciplinas[NOME_DISCIPLINA],tblDisciplinas[ID_DISCIPLINA],"")</f>
        <v/>
      </c>
      <c r="F66" s="40"/>
      <c r="G66" t="str">
        <f>_xlfn.XLOOKUP(tblAlocacao[[#This Row],[Nome do Instrutor]],tblInstrutores[NOME_COMPLETO],tblInstrutores[ID],"")</f>
        <v/>
      </c>
      <c r="H66" t="str">
        <f>_xlfn.XLOOKUP(tblAlocacao[[#This Row],[TURMA]],tblTurmas[CODIGO_TURMA],tblTurmas[INSTRUTOR],"")</f>
        <v/>
      </c>
      <c r="I66" t="str">
        <f>_xlfn.XLOOKUP(tblAlocacao[[#This Row],[AMBIENTE]],tblAmbientes[NOME_AMBIENTE],tblAmbientes[ID],"")</f>
        <v/>
      </c>
      <c r="K66" t="str">
        <f>_xlfn.XLOOKUP(tblAlocacao[[#This Row],['#VALOR!]],tblTurnos[TURNO],tblTurnos[ID_TURNO],"")</f>
        <v/>
      </c>
      <c r="L66" t="str">
        <f>_xlfn.XLOOKUP(tblAlocacao[[#This Row],[TURMA]],tblTurmas[CODIGO_TURMA],tblTurmas[TURNO],"")</f>
        <v/>
      </c>
      <c r="M66" t="str">
        <f>_xlfn.XLOOKUP(tblAlocacao[[#This Row],[MODALIDADE]], tblModalidades[MODALIDADE], tblModalidades[ID_MODALIDADE],"")</f>
        <v/>
      </c>
      <c r="O66" s="32"/>
      <c r="P66" s="32"/>
      <c r="Q66" s="33" t="e">
        <f>($P66-$O66)-_xlfn.XLOOKUP(tblAlocacao[[#This Row],[TURMA]],tblTurmas[CODIGO_TURMA],tblTurmas[INTERVALO],"")</f>
        <v>#VALUE!</v>
      </c>
    </row>
    <row r="67" spans="1:17" x14ac:dyDescent="0.35">
      <c r="A67">
        <v>66</v>
      </c>
      <c r="B67" s="2"/>
      <c r="C67" t="str">
        <f>_xlfn.XLOOKUP(tblAlocacao[[#This Row],[TURMA]],tblTurmas[CODIGO_TURMA],tblTurmas[ID_TURMA],"")</f>
        <v/>
      </c>
      <c r="E67" t="str">
        <f>_xlfn.XLOOKUP(tblAlocacao[[#This Row],[DISCIPLINA]],tblDisciplinas[NOME_DISCIPLINA],tblDisciplinas[ID_DISCIPLINA],"")</f>
        <v/>
      </c>
      <c r="F67" s="40"/>
      <c r="G67" t="str">
        <f>_xlfn.XLOOKUP(tblAlocacao[[#This Row],[Nome do Instrutor]],tblInstrutores[NOME_COMPLETO],tblInstrutores[ID],"")</f>
        <v/>
      </c>
      <c r="H67" t="str">
        <f>_xlfn.XLOOKUP(tblAlocacao[[#This Row],[TURMA]],tblTurmas[CODIGO_TURMA],tblTurmas[INSTRUTOR],"")</f>
        <v/>
      </c>
      <c r="I67" t="str">
        <f>_xlfn.XLOOKUP(tblAlocacao[[#This Row],[AMBIENTE]],tblAmbientes[NOME_AMBIENTE],tblAmbientes[ID],"")</f>
        <v/>
      </c>
      <c r="K67" t="str">
        <f>_xlfn.XLOOKUP(tblAlocacao[[#This Row],['#VALOR!]],tblTurnos[TURNO],tblTurnos[ID_TURNO],"")</f>
        <v/>
      </c>
      <c r="L67" t="str">
        <f>_xlfn.XLOOKUP(tblAlocacao[[#This Row],[TURMA]],tblTurmas[CODIGO_TURMA],tblTurmas[TURNO],"")</f>
        <v/>
      </c>
      <c r="M67" t="str">
        <f>_xlfn.XLOOKUP(tblAlocacao[[#This Row],[MODALIDADE]], tblModalidades[MODALIDADE], tblModalidades[ID_MODALIDADE],"")</f>
        <v/>
      </c>
      <c r="O67" s="32"/>
      <c r="P67" s="32"/>
      <c r="Q67" s="33" t="e">
        <f>($P67-$O67)-_xlfn.XLOOKUP(tblAlocacao[[#This Row],[TURMA]],tblTurmas[CODIGO_TURMA],tblTurmas[INTERVALO],"")</f>
        <v>#VALUE!</v>
      </c>
    </row>
    <row r="68" spans="1:17" x14ac:dyDescent="0.35">
      <c r="A68">
        <v>67</v>
      </c>
      <c r="B68" s="2"/>
      <c r="C68" t="str">
        <f>_xlfn.XLOOKUP(tblAlocacao[[#This Row],[TURMA]],tblTurmas[CODIGO_TURMA],tblTurmas[ID_TURMA],"")</f>
        <v/>
      </c>
      <c r="E68" t="str">
        <f>_xlfn.XLOOKUP(tblAlocacao[[#This Row],[DISCIPLINA]],tblDisciplinas[NOME_DISCIPLINA],tblDisciplinas[ID_DISCIPLINA],"")</f>
        <v/>
      </c>
      <c r="F68" s="40"/>
      <c r="G68" t="str">
        <f>_xlfn.XLOOKUP(tblAlocacao[[#This Row],[Nome do Instrutor]],tblInstrutores[NOME_COMPLETO],tblInstrutores[ID],"")</f>
        <v/>
      </c>
      <c r="H68" t="str">
        <f>_xlfn.XLOOKUP(tblAlocacao[[#This Row],[TURMA]],tblTurmas[CODIGO_TURMA],tblTurmas[INSTRUTOR],"")</f>
        <v/>
      </c>
      <c r="I68" t="str">
        <f>_xlfn.XLOOKUP(tblAlocacao[[#This Row],[AMBIENTE]],tblAmbientes[NOME_AMBIENTE],tblAmbientes[ID],"")</f>
        <v/>
      </c>
      <c r="K68" t="str">
        <f>_xlfn.XLOOKUP(tblAlocacao[[#This Row],['#VALOR!]],tblTurnos[TURNO],tblTurnos[ID_TURNO],"")</f>
        <v/>
      </c>
      <c r="L68" t="str">
        <f>_xlfn.XLOOKUP(tblAlocacao[[#This Row],[TURMA]],tblTurmas[CODIGO_TURMA],tblTurmas[TURNO],"")</f>
        <v/>
      </c>
      <c r="M68" t="str">
        <f>_xlfn.XLOOKUP(tblAlocacao[[#This Row],[MODALIDADE]], tblModalidades[MODALIDADE], tblModalidades[ID_MODALIDADE],"")</f>
        <v/>
      </c>
      <c r="O68" s="32"/>
      <c r="P68" s="32"/>
      <c r="Q68" s="33" t="e">
        <f>($P68-$O68)-_xlfn.XLOOKUP(tblAlocacao[[#This Row],[TURMA]],tblTurmas[CODIGO_TURMA],tblTurmas[INTERVALO],"")</f>
        <v>#VALUE!</v>
      </c>
    </row>
    <row r="69" spans="1:17" x14ac:dyDescent="0.35">
      <c r="A69">
        <v>68</v>
      </c>
      <c r="B69" s="2"/>
      <c r="C69" t="str">
        <f>_xlfn.XLOOKUP(tblAlocacao[[#This Row],[TURMA]],tblTurmas[CODIGO_TURMA],tblTurmas[ID_TURMA],"")</f>
        <v/>
      </c>
      <c r="E69" t="str">
        <f>_xlfn.XLOOKUP(tblAlocacao[[#This Row],[DISCIPLINA]],tblDisciplinas[NOME_DISCIPLINA],tblDisciplinas[ID_DISCIPLINA],"")</f>
        <v/>
      </c>
      <c r="F69" s="40"/>
      <c r="G69" t="str">
        <f>_xlfn.XLOOKUP(tblAlocacao[[#This Row],[Nome do Instrutor]],tblInstrutores[NOME_COMPLETO],tblInstrutores[ID],"")</f>
        <v/>
      </c>
      <c r="H69" t="str">
        <f>_xlfn.XLOOKUP(tblAlocacao[[#This Row],[TURMA]],tblTurmas[CODIGO_TURMA],tblTurmas[INSTRUTOR],"")</f>
        <v/>
      </c>
      <c r="I69" t="str">
        <f>_xlfn.XLOOKUP(tblAlocacao[[#This Row],[AMBIENTE]],tblAmbientes[NOME_AMBIENTE],tblAmbientes[ID],"")</f>
        <v/>
      </c>
      <c r="K69" t="str">
        <f>_xlfn.XLOOKUP(tblAlocacao[[#This Row],['#VALOR!]],tblTurnos[TURNO],tblTurnos[ID_TURNO],"")</f>
        <v/>
      </c>
      <c r="L69" t="str">
        <f>_xlfn.XLOOKUP(tblAlocacao[[#This Row],[TURMA]],tblTurmas[CODIGO_TURMA],tblTurmas[TURNO],"")</f>
        <v/>
      </c>
      <c r="M69" t="str">
        <f>_xlfn.XLOOKUP(tblAlocacao[[#This Row],[MODALIDADE]], tblModalidades[MODALIDADE], tblModalidades[ID_MODALIDADE],"")</f>
        <v/>
      </c>
      <c r="O69" s="32"/>
      <c r="P69" s="32"/>
      <c r="Q69" s="33" t="e">
        <f>($P69-$O69)-_xlfn.XLOOKUP(tblAlocacao[[#This Row],[TURMA]],tblTurmas[CODIGO_TURMA],tblTurmas[INTERVALO],"")</f>
        <v>#VALUE!</v>
      </c>
    </row>
    <row r="70" spans="1:17" x14ac:dyDescent="0.35">
      <c r="A70">
        <v>69</v>
      </c>
      <c r="B70" s="2"/>
      <c r="C70" t="str">
        <f>_xlfn.XLOOKUP(tblAlocacao[[#This Row],[TURMA]],tblTurmas[CODIGO_TURMA],tblTurmas[ID_TURMA],"")</f>
        <v/>
      </c>
      <c r="E70" t="str">
        <f>_xlfn.XLOOKUP(tblAlocacao[[#This Row],[DISCIPLINA]],tblDisciplinas[NOME_DISCIPLINA],tblDisciplinas[ID_DISCIPLINA],"")</f>
        <v/>
      </c>
      <c r="F70" s="40"/>
      <c r="G70" t="str">
        <f>_xlfn.XLOOKUP(tblAlocacao[[#This Row],[Nome do Instrutor]],tblInstrutores[NOME_COMPLETO],tblInstrutores[ID],"")</f>
        <v/>
      </c>
      <c r="H70" t="str">
        <f>_xlfn.XLOOKUP(tblAlocacao[[#This Row],[TURMA]],tblTurmas[CODIGO_TURMA],tblTurmas[INSTRUTOR],"")</f>
        <v/>
      </c>
      <c r="I70" t="str">
        <f>_xlfn.XLOOKUP(tblAlocacao[[#This Row],[AMBIENTE]],tblAmbientes[NOME_AMBIENTE],tblAmbientes[ID],"")</f>
        <v/>
      </c>
      <c r="K70" t="str">
        <f>_xlfn.XLOOKUP(tblAlocacao[[#This Row],['#VALOR!]],tblTurnos[TURNO],tblTurnos[ID_TURNO],"")</f>
        <v/>
      </c>
      <c r="L70" t="str">
        <f>_xlfn.XLOOKUP(tblAlocacao[[#This Row],[TURMA]],tblTurmas[CODIGO_TURMA],tblTurmas[TURNO],"")</f>
        <v/>
      </c>
      <c r="M70" t="str">
        <f>_xlfn.XLOOKUP(tblAlocacao[[#This Row],[MODALIDADE]], tblModalidades[MODALIDADE], tblModalidades[ID_MODALIDADE],"")</f>
        <v/>
      </c>
      <c r="O70" s="32"/>
      <c r="P70" s="32"/>
      <c r="Q70" s="33" t="e">
        <f>($P70-$O70)-_xlfn.XLOOKUP(tblAlocacao[[#This Row],[TURMA]],tblTurmas[CODIGO_TURMA],tblTurmas[INTERVALO],"")</f>
        <v>#VALUE!</v>
      </c>
    </row>
    <row r="71" spans="1:17" x14ac:dyDescent="0.35">
      <c r="A71">
        <v>70</v>
      </c>
      <c r="B71" s="2"/>
      <c r="C71" t="str">
        <f>_xlfn.XLOOKUP(tblAlocacao[[#This Row],[TURMA]],tblTurmas[CODIGO_TURMA],tblTurmas[ID_TURMA],"")</f>
        <v/>
      </c>
      <c r="E71" t="str">
        <f>_xlfn.XLOOKUP(tblAlocacao[[#This Row],[DISCIPLINA]],tblDisciplinas[NOME_DISCIPLINA],tblDisciplinas[ID_DISCIPLINA],"")</f>
        <v/>
      </c>
      <c r="F71" s="40"/>
      <c r="G71" t="str">
        <f>_xlfn.XLOOKUP(tblAlocacao[[#This Row],[Nome do Instrutor]],tblInstrutores[NOME_COMPLETO],tblInstrutores[ID],"")</f>
        <v/>
      </c>
      <c r="H71" t="str">
        <f>_xlfn.XLOOKUP(tblAlocacao[[#This Row],[TURMA]],tblTurmas[CODIGO_TURMA],tblTurmas[INSTRUTOR],"")</f>
        <v/>
      </c>
      <c r="I71" t="str">
        <f>_xlfn.XLOOKUP(tblAlocacao[[#This Row],[AMBIENTE]],tblAmbientes[NOME_AMBIENTE],tblAmbientes[ID],"")</f>
        <v/>
      </c>
      <c r="K71" t="str">
        <f>_xlfn.XLOOKUP(tblAlocacao[[#This Row],['#VALOR!]],tblTurnos[TURNO],tblTurnos[ID_TURNO],"")</f>
        <v/>
      </c>
      <c r="L71" t="str">
        <f>_xlfn.XLOOKUP(tblAlocacao[[#This Row],[TURMA]],tblTurmas[CODIGO_TURMA],tblTurmas[TURNO],"")</f>
        <v/>
      </c>
      <c r="M71" t="str">
        <f>_xlfn.XLOOKUP(tblAlocacao[[#This Row],[MODALIDADE]], tblModalidades[MODALIDADE], tblModalidades[ID_MODALIDADE],"")</f>
        <v/>
      </c>
      <c r="O71" s="32"/>
      <c r="P71" s="32"/>
      <c r="Q71" s="33" t="e">
        <f>($P71-$O71)-_xlfn.XLOOKUP(tblAlocacao[[#This Row],[TURMA]],tblTurmas[CODIGO_TURMA],tblTurmas[INTERVALO],"")</f>
        <v>#VALUE!</v>
      </c>
    </row>
    <row r="72" spans="1:17" x14ac:dyDescent="0.35">
      <c r="A72">
        <v>71</v>
      </c>
      <c r="B72" s="2"/>
      <c r="C72" t="str">
        <f>_xlfn.XLOOKUP(tblAlocacao[[#This Row],[TURMA]],tblTurmas[CODIGO_TURMA],tblTurmas[ID_TURMA],"")</f>
        <v/>
      </c>
      <c r="E72" t="str">
        <f>_xlfn.XLOOKUP(tblAlocacao[[#This Row],[DISCIPLINA]],tblDisciplinas[NOME_DISCIPLINA],tblDisciplinas[ID_DISCIPLINA],"")</f>
        <v/>
      </c>
      <c r="F72" s="40"/>
      <c r="G72" t="str">
        <f>_xlfn.XLOOKUP(tblAlocacao[[#This Row],[Nome do Instrutor]],tblInstrutores[NOME_COMPLETO],tblInstrutores[ID],"")</f>
        <v/>
      </c>
      <c r="H72" t="str">
        <f>_xlfn.XLOOKUP(tblAlocacao[[#This Row],[TURMA]],tblTurmas[CODIGO_TURMA],tblTurmas[INSTRUTOR],"")</f>
        <v/>
      </c>
      <c r="I72" t="str">
        <f>_xlfn.XLOOKUP(tblAlocacao[[#This Row],[AMBIENTE]],tblAmbientes[NOME_AMBIENTE],tblAmbientes[ID],"")</f>
        <v/>
      </c>
      <c r="K72" t="str">
        <f>_xlfn.XLOOKUP(tblAlocacao[[#This Row],['#VALOR!]],tblTurnos[TURNO],tblTurnos[ID_TURNO],"")</f>
        <v/>
      </c>
      <c r="L72" t="str">
        <f>_xlfn.XLOOKUP(tblAlocacao[[#This Row],[TURMA]],tblTurmas[CODIGO_TURMA],tblTurmas[TURNO],"")</f>
        <v/>
      </c>
      <c r="M72" t="str">
        <f>_xlfn.XLOOKUP(tblAlocacao[[#This Row],[MODALIDADE]], tblModalidades[MODALIDADE], tblModalidades[ID_MODALIDADE],"")</f>
        <v/>
      </c>
      <c r="O72" s="32"/>
      <c r="P72" s="32"/>
      <c r="Q72" s="33" t="e">
        <f>($P72-$O72)-_xlfn.XLOOKUP(tblAlocacao[[#This Row],[TURMA]],tblTurmas[CODIGO_TURMA],tblTurmas[INTERVALO],"")</f>
        <v>#VALUE!</v>
      </c>
    </row>
    <row r="73" spans="1:17" x14ac:dyDescent="0.35">
      <c r="A73">
        <v>72</v>
      </c>
      <c r="B73" s="2"/>
      <c r="C73" t="str">
        <f>_xlfn.XLOOKUP(tblAlocacao[[#This Row],[TURMA]],tblTurmas[CODIGO_TURMA],tblTurmas[ID_TURMA],"")</f>
        <v/>
      </c>
      <c r="E73" t="str">
        <f>_xlfn.XLOOKUP(tblAlocacao[[#This Row],[DISCIPLINA]],tblDisciplinas[NOME_DISCIPLINA],tblDisciplinas[ID_DISCIPLINA],"")</f>
        <v/>
      </c>
      <c r="F73" s="40"/>
      <c r="G73" t="str">
        <f>_xlfn.XLOOKUP(tblAlocacao[[#This Row],[Nome do Instrutor]],tblInstrutores[NOME_COMPLETO],tblInstrutores[ID],"")</f>
        <v/>
      </c>
      <c r="H73" t="str">
        <f>_xlfn.XLOOKUP(tblAlocacao[[#This Row],[TURMA]],tblTurmas[CODIGO_TURMA],tblTurmas[INSTRUTOR],"")</f>
        <v/>
      </c>
      <c r="I73" t="str">
        <f>_xlfn.XLOOKUP(tblAlocacao[[#This Row],[AMBIENTE]],tblAmbientes[NOME_AMBIENTE],tblAmbientes[ID],"")</f>
        <v/>
      </c>
      <c r="K73" t="str">
        <f>_xlfn.XLOOKUP(tblAlocacao[[#This Row],['#VALOR!]],tblTurnos[TURNO],tblTurnos[ID_TURNO],"")</f>
        <v/>
      </c>
      <c r="L73" t="str">
        <f>_xlfn.XLOOKUP(tblAlocacao[[#This Row],[TURMA]],tblTurmas[CODIGO_TURMA],tblTurmas[TURNO],"")</f>
        <v/>
      </c>
      <c r="M73" t="str">
        <f>_xlfn.XLOOKUP(tblAlocacao[[#This Row],[MODALIDADE]], tblModalidades[MODALIDADE], tblModalidades[ID_MODALIDADE],"")</f>
        <v/>
      </c>
      <c r="O73" s="32"/>
      <c r="P73" s="32"/>
      <c r="Q73" s="33" t="e">
        <f>($P73-$O73)-_xlfn.XLOOKUP(tblAlocacao[[#This Row],[TURMA]],tblTurmas[CODIGO_TURMA],tblTurmas[INTERVALO],"")</f>
        <v>#VALUE!</v>
      </c>
    </row>
    <row r="74" spans="1:17" x14ac:dyDescent="0.35">
      <c r="A74">
        <v>73</v>
      </c>
      <c r="B74" s="2"/>
      <c r="C74" t="str">
        <f>_xlfn.XLOOKUP(tblAlocacao[[#This Row],[TURMA]],tblTurmas[CODIGO_TURMA],tblTurmas[ID_TURMA],"")</f>
        <v/>
      </c>
      <c r="E74" t="str">
        <f>_xlfn.XLOOKUP(tblAlocacao[[#This Row],[DISCIPLINA]],tblDisciplinas[NOME_DISCIPLINA],tblDisciplinas[ID_DISCIPLINA],"")</f>
        <v/>
      </c>
      <c r="F74" s="40"/>
      <c r="G74" t="str">
        <f>_xlfn.XLOOKUP(tblAlocacao[[#This Row],[Nome do Instrutor]],tblInstrutores[NOME_COMPLETO],tblInstrutores[ID],"")</f>
        <v/>
      </c>
      <c r="H74" t="str">
        <f>_xlfn.XLOOKUP(tblAlocacao[[#This Row],[TURMA]],tblTurmas[CODIGO_TURMA],tblTurmas[INSTRUTOR],"")</f>
        <v/>
      </c>
      <c r="I74" t="str">
        <f>_xlfn.XLOOKUP(tblAlocacao[[#This Row],[AMBIENTE]],tblAmbientes[NOME_AMBIENTE],tblAmbientes[ID],"")</f>
        <v/>
      </c>
      <c r="K74" t="str">
        <f>_xlfn.XLOOKUP(tblAlocacao[[#This Row],['#VALOR!]],tblTurnos[TURNO],tblTurnos[ID_TURNO],"")</f>
        <v/>
      </c>
      <c r="L74" t="str">
        <f>_xlfn.XLOOKUP(tblAlocacao[[#This Row],[TURMA]],tblTurmas[CODIGO_TURMA],tblTurmas[TURNO],"")</f>
        <v/>
      </c>
      <c r="M74" t="str">
        <f>_xlfn.XLOOKUP(tblAlocacao[[#This Row],[MODALIDADE]], tblModalidades[MODALIDADE], tblModalidades[ID_MODALIDADE],"")</f>
        <v/>
      </c>
      <c r="O74" s="32"/>
      <c r="P74" s="32"/>
      <c r="Q74" s="33" t="e">
        <f>($P74-$O74)-_xlfn.XLOOKUP(tblAlocacao[[#This Row],[TURMA]],tblTurmas[CODIGO_TURMA],tblTurmas[INTERVALO],"")</f>
        <v>#VALUE!</v>
      </c>
    </row>
    <row r="75" spans="1:17" x14ac:dyDescent="0.35">
      <c r="A75">
        <v>74</v>
      </c>
      <c r="B75" s="2"/>
      <c r="C75" t="str">
        <f>_xlfn.XLOOKUP(tblAlocacao[[#This Row],[TURMA]],tblTurmas[CODIGO_TURMA],tblTurmas[ID_TURMA],"")</f>
        <v/>
      </c>
      <c r="E75" t="str">
        <f>_xlfn.XLOOKUP(tblAlocacao[[#This Row],[DISCIPLINA]],tblDisciplinas[NOME_DISCIPLINA],tblDisciplinas[ID_DISCIPLINA],"")</f>
        <v/>
      </c>
      <c r="F75" s="40"/>
      <c r="G75" t="str">
        <f>_xlfn.XLOOKUP(tblAlocacao[[#This Row],[Nome do Instrutor]],tblInstrutores[NOME_COMPLETO],tblInstrutores[ID],"")</f>
        <v/>
      </c>
      <c r="H75" t="str">
        <f>_xlfn.XLOOKUP(tblAlocacao[[#This Row],[TURMA]],tblTurmas[CODIGO_TURMA],tblTurmas[INSTRUTOR],"")</f>
        <v/>
      </c>
      <c r="I75" t="str">
        <f>_xlfn.XLOOKUP(tblAlocacao[[#This Row],[AMBIENTE]],tblAmbientes[NOME_AMBIENTE],tblAmbientes[ID],"")</f>
        <v/>
      </c>
      <c r="K75" t="str">
        <f>_xlfn.XLOOKUP(tblAlocacao[[#This Row],['#VALOR!]],tblTurnos[TURNO],tblTurnos[ID_TURNO],"")</f>
        <v/>
      </c>
      <c r="L75" t="str">
        <f>_xlfn.XLOOKUP(tblAlocacao[[#This Row],[TURMA]],tblTurmas[CODIGO_TURMA],tblTurmas[TURNO],"")</f>
        <v/>
      </c>
      <c r="M75" t="str">
        <f>_xlfn.XLOOKUP(tblAlocacao[[#This Row],[MODALIDADE]], tblModalidades[MODALIDADE], tblModalidades[ID_MODALIDADE],"")</f>
        <v/>
      </c>
      <c r="O75" s="32"/>
      <c r="P75" s="32"/>
      <c r="Q75" s="33" t="e">
        <f>($P75-$O75)-_xlfn.XLOOKUP(tblAlocacao[[#This Row],[TURMA]],tblTurmas[CODIGO_TURMA],tblTurmas[INTERVALO],"")</f>
        <v>#VALUE!</v>
      </c>
    </row>
    <row r="76" spans="1:17" x14ac:dyDescent="0.35">
      <c r="A76">
        <v>75</v>
      </c>
      <c r="B76" s="2"/>
      <c r="C76" t="str">
        <f>_xlfn.XLOOKUP(tblAlocacao[[#This Row],[TURMA]],tblTurmas[CODIGO_TURMA],tblTurmas[ID_TURMA],"")</f>
        <v/>
      </c>
      <c r="E76" t="str">
        <f>_xlfn.XLOOKUP(tblAlocacao[[#This Row],[DISCIPLINA]],tblDisciplinas[NOME_DISCIPLINA],tblDisciplinas[ID_DISCIPLINA],"")</f>
        <v/>
      </c>
      <c r="F76" s="40"/>
      <c r="G76" t="str">
        <f>_xlfn.XLOOKUP(tblAlocacao[[#This Row],[Nome do Instrutor]],tblInstrutores[NOME_COMPLETO],tblInstrutores[ID],"")</f>
        <v/>
      </c>
      <c r="H76" t="str">
        <f>_xlfn.XLOOKUP(tblAlocacao[[#This Row],[TURMA]],tblTurmas[CODIGO_TURMA],tblTurmas[INSTRUTOR],"")</f>
        <v/>
      </c>
      <c r="I76" t="str">
        <f>_xlfn.XLOOKUP(tblAlocacao[[#This Row],[AMBIENTE]],tblAmbientes[NOME_AMBIENTE],tblAmbientes[ID],"")</f>
        <v/>
      </c>
      <c r="K76" t="str">
        <f>_xlfn.XLOOKUP(tblAlocacao[[#This Row],['#VALOR!]],tblTurnos[TURNO],tblTurnos[ID_TURNO],"")</f>
        <v/>
      </c>
      <c r="L76" t="str">
        <f>_xlfn.XLOOKUP(tblAlocacao[[#This Row],[TURMA]],tblTurmas[CODIGO_TURMA],tblTurmas[TURNO],"")</f>
        <v/>
      </c>
      <c r="M76" t="str">
        <f>_xlfn.XLOOKUP(tblAlocacao[[#This Row],[MODALIDADE]], tblModalidades[MODALIDADE], tblModalidades[ID_MODALIDADE],"")</f>
        <v/>
      </c>
      <c r="O76" s="32"/>
      <c r="P76" s="32"/>
      <c r="Q76" s="33" t="e">
        <f>($P76-$O76)-_xlfn.XLOOKUP(tblAlocacao[[#This Row],[TURMA]],tblTurmas[CODIGO_TURMA],tblTurmas[INTERVALO],"")</f>
        <v>#VALUE!</v>
      </c>
    </row>
    <row r="77" spans="1:17" x14ac:dyDescent="0.35">
      <c r="A77">
        <v>76</v>
      </c>
      <c r="B77" s="2"/>
      <c r="C77" t="str">
        <f>_xlfn.XLOOKUP(tblAlocacao[[#This Row],[TURMA]],tblTurmas[CODIGO_TURMA],tblTurmas[ID_TURMA],"")</f>
        <v/>
      </c>
      <c r="E77" t="str">
        <f>_xlfn.XLOOKUP(tblAlocacao[[#This Row],[DISCIPLINA]],tblDisciplinas[NOME_DISCIPLINA],tblDisciplinas[ID_DISCIPLINA],"")</f>
        <v/>
      </c>
      <c r="F77" s="40"/>
      <c r="G77" t="str">
        <f>_xlfn.XLOOKUP(tblAlocacao[[#This Row],[Nome do Instrutor]],tblInstrutores[NOME_COMPLETO],tblInstrutores[ID],"")</f>
        <v/>
      </c>
      <c r="H77" t="str">
        <f>_xlfn.XLOOKUP(tblAlocacao[[#This Row],[TURMA]],tblTurmas[CODIGO_TURMA],tblTurmas[INSTRUTOR],"")</f>
        <v/>
      </c>
      <c r="I77" t="str">
        <f>_xlfn.XLOOKUP(tblAlocacao[[#This Row],[AMBIENTE]],tblAmbientes[NOME_AMBIENTE],tblAmbientes[ID],"")</f>
        <v/>
      </c>
      <c r="K77" t="str">
        <f>_xlfn.XLOOKUP(tblAlocacao[[#This Row],['#VALOR!]],tblTurnos[TURNO],tblTurnos[ID_TURNO],"")</f>
        <v/>
      </c>
      <c r="L77" t="str">
        <f>_xlfn.XLOOKUP(tblAlocacao[[#This Row],[TURMA]],tblTurmas[CODIGO_TURMA],tblTurmas[TURNO],"")</f>
        <v/>
      </c>
      <c r="M77" t="str">
        <f>_xlfn.XLOOKUP(tblAlocacao[[#This Row],[MODALIDADE]], tblModalidades[MODALIDADE], tblModalidades[ID_MODALIDADE],"")</f>
        <v/>
      </c>
      <c r="O77" s="32"/>
      <c r="P77" s="32"/>
      <c r="Q77" s="33" t="e">
        <f>($P77-$O77)-_xlfn.XLOOKUP(tblAlocacao[[#This Row],[TURMA]],tblTurmas[CODIGO_TURMA],tblTurmas[INTERVALO],"")</f>
        <v>#VALUE!</v>
      </c>
    </row>
    <row r="78" spans="1:17" x14ac:dyDescent="0.35">
      <c r="A78">
        <v>77</v>
      </c>
      <c r="B78" s="2"/>
      <c r="C78" t="str">
        <f>_xlfn.XLOOKUP(tblAlocacao[[#This Row],[TURMA]],tblTurmas[CODIGO_TURMA],tblTurmas[ID_TURMA],"")</f>
        <v/>
      </c>
      <c r="E78" t="str">
        <f>_xlfn.XLOOKUP(tblAlocacao[[#This Row],[DISCIPLINA]],tblDisciplinas[NOME_DISCIPLINA],tblDisciplinas[ID_DISCIPLINA],"")</f>
        <v/>
      </c>
      <c r="F78" s="40"/>
      <c r="G78" t="str">
        <f>_xlfn.XLOOKUP(tblAlocacao[[#This Row],[Nome do Instrutor]],tblInstrutores[NOME_COMPLETO],tblInstrutores[ID],"")</f>
        <v/>
      </c>
      <c r="H78" t="str">
        <f>_xlfn.XLOOKUP(tblAlocacao[[#This Row],[TURMA]],tblTurmas[CODIGO_TURMA],tblTurmas[INSTRUTOR],"")</f>
        <v/>
      </c>
      <c r="I78" t="str">
        <f>_xlfn.XLOOKUP(tblAlocacao[[#This Row],[AMBIENTE]],tblAmbientes[NOME_AMBIENTE],tblAmbientes[ID],"")</f>
        <v/>
      </c>
      <c r="K78" t="str">
        <f>_xlfn.XLOOKUP(tblAlocacao[[#This Row],['#VALOR!]],tblTurnos[TURNO],tblTurnos[ID_TURNO],"")</f>
        <v/>
      </c>
      <c r="L78" t="str">
        <f>_xlfn.XLOOKUP(tblAlocacao[[#This Row],[TURMA]],tblTurmas[CODIGO_TURMA],tblTurmas[TURNO],"")</f>
        <v/>
      </c>
      <c r="M78" t="str">
        <f>_xlfn.XLOOKUP(tblAlocacao[[#This Row],[MODALIDADE]], tblModalidades[MODALIDADE], tblModalidades[ID_MODALIDADE],"")</f>
        <v/>
      </c>
      <c r="O78" s="32"/>
      <c r="P78" s="32"/>
      <c r="Q78" s="33" t="e">
        <f>($P78-$O78)-_xlfn.XLOOKUP(tblAlocacao[[#This Row],[TURMA]],tblTurmas[CODIGO_TURMA],tblTurmas[INTERVALO],"")</f>
        <v>#VALUE!</v>
      </c>
    </row>
    <row r="79" spans="1:17" x14ac:dyDescent="0.35">
      <c r="A79">
        <v>78</v>
      </c>
      <c r="B79" s="2"/>
      <c r="C79" t="str">
        <f>_xlfn.XLOOKUP(tblAlocacao[[#This Row],[TURMA]],tblTurmas[CODIGO_TURMA],tblTurmas[ID_TURMA],"")</f>
        <v/>
      </c>
      <c r="E79" t="str">
        <f>_xlfn.XLOOKUP(tblAlocacao[[#This Row],[DISCIPLINA]],tblDisciplinas[NOME_DISCIPLINA],tblDisciplinas[ID_DISCIPLINA],"")</f>
        <v/>
      </c>
      <c r="F79" s="40"/>
      <c r="G79" t="str">
        <f>_xlfn.XLOOKUP(tblAlocacao[[#This Row],[Nome do Instrutor]],tblInstrutores[NOME_COMPLETO],tblInstrutores[ID],"")</f>
        <v/>
      </c>
      <c r="H79" t="str">
        <f>_xlfn.XLOOKUP(tblAlocacao[[#This Row],[TURMA]],tblTurmas[CODIGO_TURMA],tblTurmas[INSTRUTOR],"")</f>
        <v/>
      </c>
      <c r="I79" t="str">
        <f>_xlfn.XLOOKUP(tblAlocacao[[#This Row],[AMBIENTE]],tblAmbientes[NOME_AMBIENTE],tblAmbientes[ID],"")</f>
        <v/>
      </c>
      <c r="K79" t="str">
        <f>_xlfn.XLOOKUP(tblAlocacao[[#This Row],['#VALOR!]],tblTurnos[TURNO],tblTurnos[ID_TURNO],"")</f>
        <v/>
      </c>
      <c r="L79" t="str">
        <f>_xlfn.XLOOKUP(tblAlocacao[[#This Row],[TURMA]],tblTurmas[CODIGO_TURMA],tblTurmas[TURNO],"")</f>
        <v/>
      </c>
      <c r="M79" t="str">
        <f>_xlfn.XLOOKUP(tblAlocacao[[#This Row],[MODALIDADE]], tblModalidades[MODALIDADE], tblModalidades[ID_MODALIDADE],"")</f>
        <v/>
      </c>
      <c r="O79" s="32"/>
      <c r="P79" s="32"/>
      <c r="Q79" s="33" t="e">
        <f>($P79-$O79)-_xlfn.XLOOKUP(tblAlocacao[[#This Row],[TURMA]],tblTurmas[CODIGO_TURMA],tblTurmas[INTERVALO],"")</f>
        <v>#VALUE!</v>
      </c>
    </row>
    <row r="80" spans="1:17" x14ac:dyDescent="0.35">
      <c r="A80">
        <v>79</v>
      </c>
      <c r="B80" s="2"/>
      <c r="C80" t="str">
        <f>_xlfn.XLOOKUP(tblAlocacao[[#This Row],[TURMA]],tblTurmas[CODIGO_TURMA],tblTurmas[ID_TURMA],"")</f>
        <v/>
      </c>
      <c r="E80" t="str">
        <f>_xlfn.XLOOKUP(tblAlocacao[[#This Row],[DISCIPLINA]],tblDisciplinas[NOME_DISCIPLINA],tblDisciplinas[ID_DISCIPLINA],"")</f>
        <v/>
      </c>
      <c r="F80" s="40"/>
      <c r="G80" t="str">
        <f>_xlfn.XLOOKUP(tblAlocacao[[#This Row],[Nome do Instrutor]],tblInstrutores[NOME_COMPLETO],tblInstrutores[ID],"")</f>
        <v/>
      </c>
      <c r="H80" t="str">
        <f>_xlfn.XLOOKUP(tblAlocacao[[#This Row],[TURMA]],tblTurmas[CODIGO_TURMA],tblTurmas[INSTRUTOR],"")</f>
        <v/>
      </c>
      <c r="I80" t="str">
        <f>_xlfn.XLOOKUP(tblAlocacao[[#This Row],[AMBIENTE]],tblAmbientes[NOME_AMBIENTE],tblAmbientes[ID],"")</f>
        <v/>
      </c>
      <c r="K80" t="str">
        <f>_xlfn.XLOOKUP(tblAlocacao[[#This Row],['#VALOR!]],tblTurnos[TURNO],tblTurnos[ID_TURNO],"")</f>
        <v/>
      </c>
      <c r="L80" t="str">
        <f>_xlfn.XLOOKUP(tblAlocacao[[#This Row],[TURMA]],tblTurmas[CODIGO_TURMA],tblTurmas[TURNO],"")</f>
        <v/>
      </c>
      <c r="M80" t="str">
        <f>_xlfn.XLOOKUP(tblAlocacao[[#This Row],[MODALIDADE]], tblModalidades[MODALIDADE], tblModalidades[ID_MODALIDADE],"")</f>
        <v/>
      </c>
      <c r="O80" s="32"/>
      <c r="P80" s="32"/>
      <c r="Q80" s="33" t="e">
        <f>($P80-$O80)-_xlfn.XLOOKUP(tblAlocacao[[#This Row],[TURMA]],tblTurmas[CODIGO_TURMA],tblTurmas[INTERVALO],"")</f>
        <v>#VALUE!</v>
      </c>
    </row>
    <row r="81" spans="1:17" x14ac:dyDescent="0.35">
      <c r="A81">
        <v>80</v>
      </c>
      <c r="B81" s="2"/>
      <c r="C81" t="str">
        <f>_xlfn.XLOOKUP(tblAlocacao[[#This Row],[TURMA]],tblTurmas[CODIGO_TURMA],tblTurmas[ID_TURMA],"")</f>
        <v/>
      </c>
      <c r="E81" t="str">
        <f>_xlfn.XLOOKUP(tblAlocacao[[#This Row],[DISCIPLINA]],tblDisciplinas[NOME_DISCIPLINA],tblDisciplinas[ID_DISCIPLINA],"")</f>
        <v/>
      </c>
      <c r="F81" s="40"/>
      <c r="G81" t="str">
        <f>_xlfn.XLOOKUP(tblAlocacao[[#This Row],[Nome do Instrutor]],tblInstrutores[NOME_COMPLETO],tblInstrutores[ID],"")</f>
        <v/>
      </c>
      <c r="H81" t="str">
        <f>_xlfn.XLOOKUP(tblAlocacao[[#This Row],[TURMA]],tblTurmas[CODIGO_TURMA],tblTurmas[INSTRUTOR],"")</f>
        <v/>
      </c>
      <c r="I81" t="str">
        <f>_xlfn.XLOOKUP(tblAlocacao[[#This Row],[AMBIENTE]],tblAmbientes[NOME_AMBIENTE],tblAmbientes[ID],"")</f>
        <v/>
      </c>
      <c r="K81" t="str">
        <f>_xlfn.XLOOKUP(tblAlocacao[[#This Row],['#VALOR!]],tblTurnos[TURNO],tblTurnos[ID_TURNO],"")</f>
        <v/>
      </c>
      <c r="L81" t="str">
        <f>_xlfn.XLOOKUP(tblAlocacao[[#This Row],[TURMA]],tblTurmas[CODIGO_TURMA],tblTurmas[TURNO],"")</f>
        <v/>
      </c>
      <c r="M81" t="str">
        <f>_xlfn.XLOOKUP(tblAlocacao[[#This Row],[MODALIDADE]], tblModalidades[MODALIDADE], tblModalidades[ID_MODALIDADE],"")</f>
        <v/>
      </c>
      <c r="O81" s="32"/>
      <c r="P81" s="32"/>
      <c r="Q81" s="33" t="e">
        <f>($P81-$O81)-_xlfn.XLOOKUP(tblAlocacao[[#This Row],[TURMA]],tblTurmas[CODIGO_TURMA],tblTurmas[INTERVALO],"")</f>
        <v>#VALUE!</v>
      </c>
    </row>
    <row r="82" spans="1:17" x14ac:dyDescent="0.35">
      <c r="A82">
        <v>81</v>
      </c>
      <c r="B82" s="2"/>
      <c r="C82" t="str">
        <f>_xlfn.XLOOKUP(tblAlocacao[[#This Row],[TURMA]],tblTurmas[CODIGO_TURMA],tblTurmas[ID_TURMA],"")</f>
        <v/>
      </c>
      <c r="E82" t="str">
        <f>_xlfn.XLOOKUP(tblAlocacao[[#This Row],[DISCIPLINA]],tblDisciplinas[NOME_DISCIPLINA],tblDisciplinas[ID_DISCIPLINA],"")</f>
        <v/>
      </c>
      <c r="F82" s="40"/>
      <c r="G82" t="str">
        <f>_xlfn.XLOOKUP(tblAlocacao[[#This Row],[Nome do Instrutor]],tblInstrutores[NOME_COMPLETO],tblInstrutores[ID],"")</f>
        <v/>
      </c>
      <c r="H82" t="str">
        <f>_xlfn.XLOOKUP(tblAlocacao[[#This Row],[TURMA]],tblTurmas[CODIGO_TURMA],tblTurmas[INSTRUTOR],"")</f>
        <v/>
      </c>
      <c r="I82" t="str">
        <f>_xlfn.XLOOKUP(tblAlocacao[[#This Row],[AMBIENTE]],tblAmbientes[NOME_AMBIENTE],tblAmbientes[ID],"")</f>
        <v/>
      </c>
      <c r="K82" t="str">
        <f>_xlfn.XLOOKUP(tblAlocacao[[#This Row],['#VALOR!]],tblTurnos[TURNO],tblTurnos[ID_TURNO],"")</f>
        <v/>
      </c>
      <c r="L82" t="str">
        <f>_xlfn.XLOOKUP(tblAlocacao[[#This Row],[TURMA]],tblTurmas[CODIGO_TURMA],tblTurmas[TURNO],"")</f>
        <v/>
      </c>
      <c r="M82" t="str">
        <f>_xlfn.XLOOKUP(tblAlocacao[[#This Row],[MODALIDADE]], tblModalidades[MODALIDADE], tblModalidades[ID_MODALIDADE],"")</f>
        <v/>
      </c>
      <c r="O82" s="32"/>
      <c r="P82" s="32"/>
      <c r="Q82" s="33" t="e">
        <f>($P82-$O82)-_xlfn.XLOOKUP(tblAlocacao[[#This Row],[TURMA]],tblTurmas[CODIGO_TURMA],tblTurmas[INTERVALO],"")</f>
        <v>#VALUE!</v>
      </c>
    </row>
    <row r="83" spans="1:17" x14ac:dyDescent="0.35">
      <c r="A83">
        <v>82</v>
      </c>
      <c r="B83" s="2"/>
      <c r="C83" t="str">
        <f>_xlfn.XLOOKUP(tblAlocacao[[#This Row],[TURMA]],tblTurmas[CODIGO_TURMA],tblTurmas[ID_TURMA],"")</f>
        <v/>
      </c>
      <c r="E83" t="str">
        <f>_xlfn.XLOOKUP(tblAlocacao[[#This Row],[DISCIPLINA]],tblDisciplinas[NOME_DISCIPLINA],tblDisciplinas[ID_DISCIPLINA],"")</f>
        <v/>
      </c>
      <c r="F83" s="40"/>
      <c r="G83" t="str">
        <f>_xlfn.XLOOKUP(tblAlocacao[[#This Row],[Nome do Instrutor]],tblInstrutores[NOME_COMPLETO],tblInstrutores[ID],"")</f>
        <v/>
      </c>
      <c r="H83" t="str">
        <f>_xlfn.XLOOKUP(tblAlocacao[[#This Row],[TURMA]],tblTurmas[CODIGO_TURMA],tblTurmas[INSTRUTOR],"")</f>
        <v/>
      </c>
      <c r="I83" t="str">
        <f>_xlfn.XLOOKUP(tblAlocacao[[#This Row],[AMBIENTE]],tblAmbientes[NOME_AMBIENTE],tblAmbientes[ID],"")</f>
        <v/>
      </c>
      <c r="K83" t="str">
        <f>_xlfn.XLOOKUP(tblAlocacao[[#This Row],['#VALOR!]],tblTurnos[TURNO],tblTurnos[ID_TURNO],"")</f>
        <v/>
      </c>
      <c r="L83" t="str">
        <f>_xlfn.XLOOKUP(tblAlocacao[[#This Row],[TURMA]],tblTurmas[CODIGO_TURMA],tblTurmas[TURNO],"")</f>
        <v/>
      </c>
      <c r="M83" t="str">
        <f>_xlfn.XLOOKUP(tblAlocacao[[#This Row],[MODALIDADE]], tblModalidades[MODALIDADE], tblModalidades[ID_MODALIDADE],"")</f>
        <v/>
      </c>
      <c r="O83" s="32"/>
      <c r="P83" s="32"/>
      <c r="Q83" s="33" t="e">
        <f>($P83-$O83)-_xlfn.XLOOKUP(tblAlocacao[[#This Row],[TURMA]],tblTurmas[CODIGO_TURMA],tblTurmas[INTERVALO],"")</f>
        <v>#VALUE!</v>
      </c>
    </row>
    <row r="84" spans="1:17" x14ac:dyDescent="0.35">
      <c r="A84">
        <v>83</v>
      </c>
      <c r="B84" s="2"/>
      <c r="C84" t="str">
        <f>_xlfn.XLOOKUP(tblAlocacao[[#This Row],[TURMA]],tblTurmas[CODIGO_TURMA],tblTurmas[ID_TURMA],"")</f>
        <v/>
      </c>
      <c r="E84" t="str">
        <f>_xlfn.XLOOKUP(tblAlocacao[[#This Row],[DISCIPLINA]],tblDisciplinas[NOME_DISCIPLINA],tblDisciplinas[ID_DISCIPLINA],"")</f>
        <v/>
      </c>
      <c r="F84" s="40"/>
      <c r="G84" t="str">
        <f>_xlfn.XLOOKUP(tblAlocacao[[#This Row],[Nome do Instrutor]],tblInstrutores[NOME_COMPLETO],tblInstrutores[ID],"")</f>
        <v/>
      </c>
      <c r="H84" t="str">
        <f>_xlfn.XLOOKUP(tblAlocacao[[#This Row],[TURMA]],tblTurmas[CODIGO_TURMA],tblTurmas[INSTRUTOR],"")</f>
        <v/>
      </c>
      <c r="I84" t="str">
        <f>_xlfn.XLOOKUP(tblAlocacao[[#This Row],[AMBIENTE]],tblAmbientes[NOME_AMBIENTE],tblAmbientes[ID],"")</f>
        <v/>
      </c>
      <c r="K84" t="str">
        <f>_xlfn.XLOOKUP(tblAlocacao[[#This Row],['#VALOR!]],tblTurnos[TURNO],tblTurnos[ID_TURNO],"")</f>
        <v/>
      </c>
      <c r="L84" t="str">
        <f>_xlfn.XLOOKUP(tblAlocacao[[#This Row],[TURMA]],tblTurmas[CODIGO_TURMA],tblTurmas[TURNO],"")</f>
        <v/>
      </c>
      <c r="M84" t="str">
        <f>_xlfn.XLOOKUP(tblAlocacao[[#This Row],[MODALIDADE]], tblModalidades[MODALIDADE], tblModalidades[ID_MODALIDADE],"")</f>
        <v/>
      </c>
      <c r="O84" s="32"/>
      <c r="P84" s="32"/>
      <c r="Q84" s="33" t="e">
        <f>($P84-$O84)-_xlfn.XLOOKUP(tblAlocacao[[#This Row],[TURMA]],tblTurmas[CODIGO_TURMA],tblTurmas[INTERVALO],"")</f>
        <v>#VALUE!</v>
      </c>
    </row>
    <row r="85" spans="1:17" x14ac:dyDescent="0.35">
      <c r="A85">
        <v>84</v>
      </c>
      <c r="B85" s="2"/>
      <c r="C85" t="str">
        <f>_xlfn.XLOOKUP(tblAlocacao[[#This Row],[TURMA]],tblTurmas[CODIGO_TURMA],tblTurmas[ID_TURMA],"")</f>
        <v/>
      </c>
      <c r="E85" t="str">
        <f>_xlfn.XLOOKUP(tblAlocacao[[#This Row],[DISCIPLINA]],tblDisciplinas[NOME_DISCIPLINA],tblDisciplinas[ID_DISCIPLINA],"")</f>
        <v/>
      </c>
      <c r="F85" s="40"/>
      <c r="G85" t="str">
        <f>_xlfn.XLOOKUP(tblAlocacao[[#This Row],[Nome do Instrutor]],tblInstrutores[NOME_COMPLETO],tblInstrutores[ID],"")</f>
        <v/>
      </c>
      <c r="H85" t="str">
        <f>_xlfn.XLOOKUP(tblAlocacao[[#This Row],[TURMA]],tblTurmas[CODIGO_TURMA],tblTurmas[INSTRUTOR],"")</f>
        <v/>
      </c>
      <c r="I85" t="str">
        <f>_xlfn.XLOOKUP(tblAlocacao[[#This Row],[AMBIENTE]],tblAmbientes[NOME_AMBIENTE],tblAmbientes[ID],"")</f>
        <v/>
      </c>
      <c r="K85" t="str">
        <f>_xlfn.XLOOKUP(tblAlocacao[[#This Row],['#VALOR!]],tblTurnos[TURNO],tblTurnos[ID_TURNO],"")</f>
        <v/>
      </c>
      <c r="L85" t="str">
        <f>_xlfn.XLOOKUP(tblAlocacao[[#This Row],[TURMA]],tblTurmas[CODIGO_TURMA],tblTurmas[TURNO],"")</f>
        <v/>
      </c>
      <c r="M85" t="str">
        <f>_xlfn.XLOOKUP(tblAlocacao[[#This Row],[MODALIDADE]], tblModalidades[MODALIDADE], tblModalidades[ID_MODALIDADE],"")</f>
        <v/>
      </c>
      <c r="O85" s="32"/>
      <c r="P85" s="32"/>
      <c r="Q85" s="33" t="e">
        <f>($P85-$O85)-_xlfn.XLOOKUP(tblAlocacao[[#This Row],[TURMA]],tblTurmas[CODIGO_TURMA],tblTurmas[INTERVALO],"")</f>
        <v>#VALUE!</v>
      </c>
    </row>
    <row r="86" spans="1:17" x14ac:dyDescent="0.35">
      <c r="A86">
        <v>85</v>
      </c>
      <c r="B86" s="2"/>
      <c r="C86" t="str">
        <f>_xlfn.XLOOKUP(tblAlocacao[[#This Row],[TURMA]],tblTurmas[CODIGO_TURMA],tblTurmas[ID_TURMA],"")</f>
        <v/>
      </c>
      <c r="E86" t="str">
        <f>_xlfn.XLOOKUP(tblAlocacao[[#This Row],[DISCIPLINA]],tblDisciplinas[NOME_DISCIPLINA],tblDisciplinas[ID_DISCIPLINA],"")</f>
        <v/>
      </c>
      <c r="F86" s="40"/>
      <c r="G86" t="str">
        <f>_xlfn.XLOOKUP(tblAlocacao[[#This Row],[Nome do Instrutor]],tblInstrutores[NOME_COMPLETO],tblInstrutores[ID],"")</f>
        <v/>
      </c>
      <c r="H86" t="str">
        <f>_xlfn.XLOOKUP(tblAlocacao[[#This Row],[TURMA]],tblTurmas[CODIGO_TURMA],tblTurmas[INSTRUTOR],"")</f>
        <v/>
      </c>
      <c r="I86" t="str">
        <f>_xlfn.XLOOKUP(tblAlocacao[[#This Row],[AMBIENTE]],tblAmbientes[NOME_AMBIENTE],tblAmbientes[ID],"")</f>
        <v/>
      </c>
      <c r="K86" t="str">
        <f>_xlfn.XLOOKUP(tblAlocacao[[#This Row],['#VALOR!]],tblTurnos[TURNO],tblTurnos[ID_TURNO],"")</f>
        <v/>
      </c>
      <c r="L86" t="str">
        <f>_xlfn.XLOOKUP(tblAlocacao[[#This Row],[TURMA]],tblTurmas[CODIGO_TURMA],tblTurmas[TURNO],"")</f>
        <v/>
      </c>
      <c r="M86" t="str">
        <f>_xlfn.XLOOKUP(tblAlocacao[[#This Row],[MODALIDADE]], tblModalidades[MODALIDADE], tblModalidades[ID_MODALIDADE],"")</f>
        <v/>
      </c>
      <c r="O86" s="32"/>
      <c r="P86" s="32"/>
      <c r="Q86" s="33" t="e">
        <f>($P86-$O86)-_xlfn.XLOOKUP(tblAlocacao[[#This Row],[TURMA]],tblTurmas[CODIGO_TURMA],tblTurmas[INTERVALO],"")</f>
        <v>#VALUE!</v>
      </c>
    </row>
    <row r="87" spans="1:17" x14ac:dyDescent="0.35">
      <c r="A87">
        <v>86</v>
      </c>
      <c r="B87" s="2"/>
      <c r="C87" t="str">
        <f>_xlfn.XLOOKUP(tblAlocacao[[#This Row],[TURMA]],tblTurmas[CODIGO_TURMA],tblTurmas[ID_TURMA],"")</f>
        <v/>
      </c>
      <c r="E87" t="str">
        <f>_xlfn.XLOOKUP(tblAlocacao[[#This Row],[DISCIPLINA]],tblDisciplinas[NOME_DISCIPLINA],tblDisciplinas[ID_DISCIPLINA],"")</f>
        <v/>
      </c>
      <c r="F87" s="40"/>
      <c r="G87" t="str">
        <f>_xlfn.XLOOKUP(tblAlocacao[[#This Row],[Nome do Instrutor]],tblInstrutores[NOME_COMPLETO],tblInstrutores[ID],"")</f>
        <v/>
      </c>
      <c r="H87" t="str">
        <f>_xlfn.XLOOKUP(tblAlocacao[[#This Row],[TURMA]],tblTurmas[CODIGO_TURMA],tblTurmas[INSTRUTOR],"")</f>
        <v/>
      </c>
      <c r="I87" t="str">
        <f>_xlfn.XLOOKUP(tblAlocacao[[#This Row],[AMBIENTE]],tblAmbientes[NOME_AMBIENTE],tblAmbientes[ID],"")</f>
        <v/>
      </c>
      <c r="K87" t="str">
        <f>_xlfn.XLOOKUP(tblAlocacao[[#This Row],['#VALOR!]],tblTurnos[TURNO],tblTurnos[ID_TURNO],"")</f>
        <v/>
      </c>
      <c r="L87" t="str">
        <f>_xlfn.XLOOKUP(tblAlocacao[[#This Row],[TURMA]],tblTurmas[CODIGO_TURMA],tblTurmas[TURNO],"")</f>
        <v/>
      </c>
      <c r="M87" t="str">
        <f>_xlfn.XLOOKUP(tblAlocacao[[#This Row],[MODALIDADE]], tblModalidades[MODALIDADE], tblModalidades[ID_MODALIDADE],"")</f>
        <v/>
      </c>
      <c r="O87" s="32"/>
      <c r="P87" s="32"/>
      <c r="Q87" s="33" t="e">
        <f>($P87-$O87)-_xlfn.XLOOKUP(tblAlocacao[[#This Row],[TURMA]],tblTurmas[CODIGO_TURMA],tblTurmas[INTERVALO],"")</f>
        <v>#VALUE!</v>
      </c>
    </row>
    <row r="88" spans="1:17" x14ac:dyDescent="0.35">
      <c r="A88">
        <v>87</v>
      </c>
      <c r="B88" s="2"/>
      <c r="C88" t="str">
        <f>_xlfn.XLOOKUP(tblAlocacao[[#This Row],[TURMA]],tblTurmas[CODIGO_TURMA],tblTurmas[ID_TURMA],"")</f>
        <v/>
      </c>
      <c r="E88" t="str">
        <f>_xlfn.XLOOKUP(tblAlocacao[[#This Row],[DISCIPLINA]],tblDisciplinas[NOME_DISCIPLINA],tblDisciplinas[ID_DISCIPLINA],"")</f>
        <v/>
      </c>
      <c r="F88" s="40"/>
      <c r="G88" t="str">
        <f>_xlfn.XLOOKUP(tblAlocacao[[#This Row],[Nome do Instrutor]],tblInstrutores[NOME_COMPLETO],tblInstrutores[ID],"")</f>
        <v/>
      </c>
      <c r="H88" t="str">
        <f>_xlfn.XLOOKUP(tblAlocacao[[#This Row],[TURMA]],tblTurmas[CODIGO_TURMA],tblTurmas[INSTRUTOR],"")</f>
        <v/>
      </c>
      <c r="I88" t="str">
        <f>_xlfn.XLOOKUP(tblAlocacao[[#This Row],[AMBIENTE]],tblAmbientes[NOME_AMBIENTE],tblAmbientes[ID],"")</f>
        <v/>
      </c>
      <c r="K88" t="str">
        <f>_xlfn.XLOOKUP(tblAlocacao[[#This Row],['#VALOR!]],tblTurnos[TURNO],tblTurnos[ID_TURNO],"")</f>
        <v/>
      </c>
      <c r="L88" t="str">
        <f>_xlfn.XLOOKUP(tblAlocacao[[#This Row],[TURMA]],tblTurmas[CODIGO_TURMA],tblTurmas[TURNO],"")</f>
        <v/>
      </c>
      <c r="M88" t="str">
        <f>_xlfn.XLOOKUP(tblAlocacao[[#This Row],[MODALIDADE]], tblModalidades[MODALIDADE], tblModalidades[ID_MODALIDADE],"")</f>
        <v/>
      </c>
      <c r="O88" s="32"/>
      <c r="P88" s="32"/>
      <c r="Q88" s="33" t="e">
        <f>($P88-$O88)-_xlfn.XLOOKUP(tblAlocacao[[#This Row],[TURMA]],tblTurmas[CODIGO_TURMA],tblTurmas[INTERVALO],"")</f>
        <v>#VALUE!</v>
      </c>
    </row>
    <row r="89" spans="1:17" x14ac:dyDescent="0.35">
      <c r="A89">
        <v>88</v>
      </c>
      <c r="B89" s="2"/>
      <c r="C89" t="str">
        <f>_xlfn.XLOOKUP(tblAlocacao[[#This Row],[TURMA]],tblTurmas[CODIGO_TURMA],tblTurmas[ID_TURMA],"")</f>
        <v/>
      </c>
      <c r="E89" t="str">
        <f>_xlfn.XLOOKUP(tblAlocacao[[#This Row],[DISCIPLINA]],tblDisciplinas[NOME_DISCIPLINA],tblDisciplinas[ID_DISCIPLINA],"")</f>
        <v/>
      </c>
      <c r="F89" s="40"/>
      <c r="G89" t="str">
        <f>_xlfn.XLOOKUP(tblAlocacao[[#This Row],[Nome do Instrutor]],tblInstrutores[NOME_COMPLETO],tblInstrutores[ID],"")</f>
        <v/>
      </c>
      <c r="H89" t="str">
        <f>_xlfn.XLOOKUP(tblAlocacao[[#This Row],[TURMA]],tblTurmas[CODIGO_TURMA],tblTurmas[INSTRUTOR],"")</f>
        <v/>
      </c>
      <c r="I89" t="str">
        <f>_xlfn.XLOOKUP(tblAlocacao[[#This Row],[AMBIENTE]],tblAmbientes[NOME_AMBIENTE],tblAmbientes[ID],"")</f>
        <v/>
      </c>
      <c r="K89" t="str">
        <f>_xlfn.XLOOKUP(tblAlocacao[[#This Row],['#VALOR!]],tblTurnos[TURNO],tblTurnos[ID_TURNO],"")</f>
        <v/>
      </c>
      <c r="L89" t="str">
        <f>_xlfn.XLOOKUP(tblAlocacao[[#This Row],[TURMA]],tblTurmas[CODIGO_TURMA],tblTurmas[TURNO],"")</f>
        <v/>
      </c>
      <c r="M89" t="str">
        <f>_xlfn.XLOOKUP(tblAlocacao[[#This Row],[MODALIDADE]], tblModalidades[MODALIDADE], tblModalidades[ID_MODALIDADE],"")</f>
        <v/>
      </c>
      <c r="O89" s="32"/>
      <c r="P89" s="32"/>
      <c r="Q89" s="33" t="e">
        <f>($P89-$O89)-_xlfn.XLOOKUP(tblAlocacao[[#This Row],[TURMA]],tblTurmas[CODIGO_TURMA],tblTurmas[INTERVALO],"")</f>
        <v>#VALUE!</v>
      </c>
    </row>
    <row r="90" spans="1:17" x14ac:dyDescent="0.35">
      <c r="A90">
        <v>89</v>
      </c>
      <c r="B90" s="2"/>
      <c r="C90" t="str">
        <f>_xlfn.XLOOKUP(tblAlocacao[[#This Row],[TURMA]],tblTurmas[CODIGO_TURMA],tblTurmas[ID_TURMA],"")</f>
        <v/>
      </c>
      <c r="E90" t="str">
        <f>_xlfn.XLOOKUP(tblAlocacao[[#This Row],[DISCIPLINA]],tblDisciplinas[NOME_DISCIPLINA],tblDisciplinas[ID_DISCIPLINA],"")</f>
        <v/>
      </c>
      <c r="F90" s="40"/>
      <c r="G90" t="str">
        <f>_xlfn.XLOOKUP(tblAlocacao[[#This Row],[Nome do Instrutor]],tblInstrutores[NOME_COMPLETO],tblInstrutores[ID],"")</f>
        <v/>
      </c>
      <c r="H90" t="str">
        <f>_xlfn.XLOOKUP(tblAlocacao[[#This Row],[TURMA]],tblTurmas[CODIGO_TURMA],tblTurmas[INSTRUTOR],"")</f>
        <v/>
      </c>
      <c r="I90" t="str">
        <f>_xlfn.XLOOKUP(tblAlocacao[[#This Row],[AMBIENTE]],tblAmbientes[NOME_AMBIENTE],tblAmbientes[ID],"")</f>
        <v/>
      </c>
      <c r="K90" t="str">
        <f>_xlfn.XLOOKUP(tblAlocacao[[#This Row],['#VALOR!]],tblTurnos[TURNO],tblTurnos[ID_TURNO],"")</f>
        <v/>
      </c>
      <c r="L90" t="str">
        <f>_xlfn.XLOOKUP(tblAlocacao[[#This Row],[TURMA]],tblTurmas[CODIGO_TURMA],tblTurmas[TURNO],"")</f>
        <v/>
      </c>
      <c r="M90" t="str">
        <f>_xlfn.XLOOKUP(tblAlocacao[[#This Row],[MODALIDADE]], tblModalidades[MODALIDADE], tblModalidades[ID_MODALIDADE],"")</f>
        <v/>
      </c>
      <c r="O90" s="32"/>
      <c r="P90" s="32"/>
      <c r="Q90" s="33" t="e">
        <f>($P90-$O90)-_xlfn.XLOOKUP(tblAlocacao[[#This Row],[TURMA]],tblTurmas[CODIGO_TURMA],tblTurmas[INTERVALO],"")</f>
        <v>#VALUE!</v>
      </c>
    </row>
    <row r="91" spans="1:17" x14ac:dyDescent="0.35">
      <c r="A91">
        <v>90</v>
      </c>
      <c r="B91" s="2"/>
      <c r="C91" t="str">
        <f>_xlfn.XLOOKUP(tblAlocacao[[#This Row],[TURMA]],tblTurmas[CODIGO_TURMA],tblTurmas[ID_TURMA],"")</f>
        <v/>
      </c>
      <c r="E91" t="str">
        <f>_xlfn.XLOOKUP(tblAlocacao[[#This Row],[DISCIPLINA]],tblDisciplinas[NOME_DISCIPLINA],tblDisciplinas[ID_DISCIPLINA],"")</f>
        <v/>
      </c>
      <c r="F91" s="40"/>
      <c r="G91" t="str">
        <f>_xlfn.XLOOKUP(tblAlocacao[[#This Row],[Nome do Instrutor]],tblInstrutores[NOME_COMPLETO],tblInstrutores[ID],"")</f>
        <v/>
      </c>
      <c r="H91" t="str">
        <f>_xlfn.XLOOKUP(tblAlocacao[[#This Row],[TURMA]],tblTurmas[CODIGO_TURMA],tblTurmas[INSTRUTOR],"")</f>
        <v/>
      </c>
      <c r="I91" t="str">
        <f>_xlfn.XLOOKUP(tblAlocacao[[#This Row],[AMBIENTE]],tblAmbientes[NOME_AMBIENTE],tblAmbientes[ID],"")</f>
        <v/>
      </c>
      <c r="K91" t="str">
        <f>_xlfn.XLOOKUP(tblAlocacao[[#This Row],['#VALOR!]],tblTurnos[TURNO],tblTurnos[ID_TURNO],"")</f>
        <v/>
      </c>
      <c r="L91" t="str">
        <f>_xlfn.XLOOKUP(tblAlocacao[[#This Row],[TURMA]],tblTurmas[CODIGO_TURMA],tblTurmas[TURNO],"")</f>
        <v/>
      </c>
      <c r="M91" t="str">
        <f>_xlfn.XLOOKUP(tblAlocacao[[#This Row],[MODALIDADE]], tblModalidades[MODALIDADE], tblModalidades[ID_MODALIDADE],"")</f>
        <v/>
      </c>
      <c r="O91" s="32"/>
      <c r="P91" s="32"/>
      <c r="Q91" s="33" t="e">
        <f>($P91-$O91)-_xlfn.XLOOKUP(tblAlocacao[[#This Row],[TURMA]],tblTurmas[CODIGO_TURMA],tblTurmas[INTERVALO],"")</f>
        <v>#VALUE!</v>
      </c>
    </row>
    <row r="92" spans="1:17" x14ac:dyDescent="0.35">
      <c r="A92">
        <v>91</v>
      </c>
      <c r="B92" s="2"/>
      <c r="C92" t="str">
        <f>_xlfn.XLOOKUP(tblAlocacao[[#This Row],[TURMA]],tblTurmas[CODIGO_TURMA],tblTurmas[ID_TURMA],"")</f>
        <v/>
      </c>
      <c r="E92" t="str">
        <f>_xlfn.XLOOKUP(tblAlocacao[[#This Row],[DISCIPLINA]],tblDisciplinas[NOME_DISCIPLINA],tblDisciplinas[ID_DISCIPLINA],"")</f>
        <v/>
      </c>
      <c r="F92" s="40"/>
      <c r="G92" t="str">
        <f>_xlfn.XLOOKUP(tblAlocacao[[#This Row],[Nome do Instrutor]],tblInstrutores[NOME_COMPLETO],tblInstrutores[ID],"")</f>
        <v/>
      </c>
      <c r="H92" t="str">
        <f>_xlfn.XLOOKUP(tblAlocacao[[#This Row],[TURMA]],tblTurmas[CODIGO_TURMA],tblTurmas[INSTRUTOR],"")</f>
        <v/>
      </c>
      <c r="I92" t="str">
        <f>_xlfn.XLOOKUP(tblAlocacao[[#This Row],[AMBIENTE]],tblAmbientes[NOME_AMBIENTE],tblAmbientes[ID],"")</f>
        <v/>
      </c>
      <c r="K92" t="str">
        <f>_xlfn.XLOOKUP(tblAlocacao[[#This Row],['#VALOR!]],tblTurnos[TURNO],tblTurnos[ID_TURNO],"")</f>
        <v/>
      </c>
      <c r="L92" t="str">
        <f>_xlfn.XLOOKUP(tblAlocacao[[#This Row],[TURMA]],tblTurmas[CODIGO_TURMA],tblTurmas[TURNO],"")</f>
        <v/>
      </c>
      <c r="M92" t="str">
        <f>_xlfn.XLOOKUP(tblAlocacao[[#This Row],[MODALIDADE]], tblModalidades[MODALIDADE], tblModalidades[ID_MODALIDADE],"")</f>
        <v/>
      </c>
      <c r="O92" s="32"/>
      <c r="P92" s="32"/>
      <c r="Q92" s="33" t="e">
        <f>($P92-$O92)-_xlfn.XLOOKUP(tblAlocacao[[#This Row],[TURMA]],tblTurmas[CODIGO_TURMA],tblTurmas[INTERVALO],"")</f>
        <v>#VALUE!</v>
      </c>
    </row>
    <row r="93" spans="1:17" x14ac:dyDescent="0.35">
      <c r="A93">
        <v>92</v>
      </c>
      <c r="B93" s="2"/>
      <c r="C93" t="str">
        <f>_xlfn.XLOOKUP(tblAlocacao[[#This Row],[TURMA]],tblTurmas[CODIGO_TURMA],tblTurmas[ID_TURMA],"")</f>
        <v/>
      </c>
      <c r="E93" t="str">
        <f>_xlfn.XLOOKUP(tblAlocacao[[#This Row],[DISCIPLINA]],tblDisciplinas[NOME_DISCIPLINA],tblDisciplinas[ID_DISCIPLINA],"")</f>
        <v/>
      </c>
      <c r="F93" s="40"/>
      <c r="G93" t="str">
        <f>_xlfn.XLOOKUP(tblAlocacao[[#This Row],[Nome do Instrutor]],tblInstrutores[NOME_COMPLETO],tblInstrutores[ID],"")</f>
        <v/>
      </c>
      <c r="H93" t="str">
        <f>_xlfn.XLOOKUP(tblAlocacao[[#This Row],[TURMA]],tblTurmas[CODIGO_TURMA],tblTurmas[INSTRUTOR],"")</f>
        <v/>
      </c>
      <c r="I93" t="str">
        <f>_xlfn.XLOOKUP(tblAlocacao[[#This Row],[AMBIENTE]],tblAmbientes[NOME_AMBIENTE],tblAmbientes[ID],"")</f>
        <v/>
      </c>
      <c r="K93" t="str">
        <f>_xlfn.XLOOKUP(tblAlocacao[[#This Row],['#VALOR!]],tblTurnos[TURNO],tblTurnos[ID_TURNO],"")</f>
        <v/>
      </c>
      <c r="L93" t="str">
        <f>_xlfn.XLOOKUP(tblAlocacao[[#This Row],[TURMA]],tblTurmas[CODIGO_TURMA],tblTurmas[TURNO],"")</f>
        <v/>
      </c>
      <c r="M93" t="str">
        <f>_xlfn.XLOOKUP(tblAlocacao[[#This Row],[MODALIDADE]], tblModalidades[MODALIDADE], tblModalidades[ID_MODALIDADE],"")</f>
        <v/>
      </c>
      <c r="O93" s="32"/>
      <c r="P93" s="32"/>
      <c r="Q93" s="33" t="e">
        <f>($P93-$O93)-_xlfn.XLOOKUP(tblAlocacao[[#This Row],[TURMA]],tblTurmas[CODIGO_TURMA],tblTurmas[INTERVALO],"")</f>
        <v>#VALUE!</v>
      </c>
    </row>
    <row r="94" spans="1:17" x14ac:dyDescent="0.35">
      <c r="A94">
        <v>93</v>
      </c>
      <c r="B94" s="2"/>
      <c r="C94" t="str">
        <f>_xlfn.XLOOKUP(tblAlocacao[[#This Row],[TURMA]],tblTurmas[CODIGO_TURMA],tblTurmas[ID_TURMA],"")</f>
        <v/>
      </c>
      <c r="E94" t="str">
        <f>_xlfn.XLOOKUP(tblAlocacao[[#This Row],[DISCIPLINA]],tblDisciplinas[NOME_DISCIPLINA],tblDisciplinas[ID_DISCIPLINA],"")</f>
        <v/>
      </c>
      <c r="F94" s="40"/>
      <c r="G94" t="str">
        <f>_xlfn.XLOOKUP(tblAlocacao[[#This Row],[Nome do Instrutor]],tblInstrutores[NOME_COMPLETO],tblInstrutores[ID],"")</f>
        <v/>
      </c>
      <c r="H94" t="str">
        <f>_xlfn.XLOOKUP(tblAlocacao[[#This Row],[TURMA]],tblTurmas[CODIGO_TURMA],tblTurmas[INSTRUTOR],"")</f>
        <v/>
      </c>
      <c r="I94" t="str">
        <f>_xlfn.XLOOKUP(tblAlocacao[[#This Row],[AMBIENTE]],tblAmbientes[NOME_AMBIENTE],tblAmbientes[ID],"")</f>
        <v/>
      </c>
      <c r="K94" t="str">
        <f>_xlfn.XLOOKUP(tblAlocacao[[#This Row],['#VALOR!]],tblTurnos[TURNO],tblTurnos[ID_TURNO],"")</f>
        <v/>
      </c>
      <c r="L94" t="str">
        <f>_xlfn.XLOOKUP(tblAlocacao[[#This Row],[TURMA]],tblTurmas[CODIGO_TURMA],tblTurmas[TURNO],"")</f>
        <v/>
      </c>
      <c r="M94" t="str">
        <f>_xlfn.XLOOKUP(tblAlocacao[[#This Row],[MODALIDADE]], tblModalidades[MODALIDADE], tblModalidades[ID_MODALIDADE],"")</f>
        <v/>
      </c>
      <c r="O94" s="32"/>
      <c r="P94" s="32"/>
      <c r="Q94" s="33" t="e">
        <f>($P94-$O94)-_xlfn.XLOOKUP(tblAlocacao[[#This Row],[TURMA]],tblTurmas[CODIGO_TURMA],tblTurmas[INTERVALO],"")</f>
        <v>#VALUE!</v>
      </c>
    </row>
    <row r="95" spans="1:17" x14ac:dyDescent="0.35">
      <c r="A95">
        <v>94</v>
      </c>
      <c r="B95" s="2"/>
      <c r="C95" t="str">
        <f>_xlfn.XLOOKUP(tblAlocacao[[#This Row],[TURMA]],tblTurmas[CODIGO_TURMA],tblTurmas[ID_TURMA],"")</f>
        <v/>
      </c>
      <c r="E95" t="str">
        <f>_xlfn.XLOOKUP(tblAlocacao[[#This Row],[DISCIPLINA]],tblDisciplinas[NOME_DISCIPLINA],tblDisciplinas[ID_DISCIPLINA],"")</f>
        <v/>
      </c>
      <c r="F95" s="40"/>
      <c r="G95" t="str">
        <f>_xlfn.XLOOKUP(tblAlocacao[[#This Row],[Nome do Instrutor]],tblInstrutores[NOME_COMPLETO],tblInstrutores[ID],"")</f>
        <v/>
      </c>
      <c r="H95" t="str">
        <f>_xlfn.XLOOKUP(tblAlocacao[[#This Row],[TURMA]],tblTurmas[CODIGO_TURMA],tblTurmas[INSTRUTOR],"")</f>
        <v/>
      </c>
      <c r="I95" t="str">
        <f>_xlfn.XLOOKUP(tblAlocacao[[#This Row],[AMBIENTE]],tblAmbientes[NOME_AMBIENTE],tblAmbientes[ID],"")</f>
        <v/>
      </c>
      <c r="K95" t="str">
        <f>_xlfn.XLOOKUP(tblAlocacao[[#This Row],['#VALOR!]],tblTurnos[TURNO],tblTurnos[ID_TURNO],"")</f>
        <v/>
      </c>
      <c r="L95" t="str">
        <f>_xlfn.XLOOKUP(tblAlocacao[[#This Row],[TURMA]],tblTurmas[CODIGO_TURMA],tblTurmas[TURNO],"")</f>
        <v/>
      </c>
      <c r="M95" t="str">
        <f>_xlfn.XLOOKUP(tblAlocacao[[#This Row],[MODALIDADE]], tblModalidades[MODALIDADE], tblModalidades[ID_MODALIDADE],"")</f>
        <v/>
      </c>
      <c r="O95" s="32"/>
      <c r="P95" s="32"/>
      <c r="Q95" s="33" t="e">
        <f>($P95-$O95)-_xlfn.XLOOKUP(tblAlocacao[[#This Row],[TURMA]],tblTurmas[CODIGO_TURMA],tblTurmas[INTERVALO],"")</f>
        <v>#VALUE!</v>
      </c>
    </row>
    <row r="96" spans="1:17" x14ac:dyDescent="0.35">
      <c r="A96">
        <v>95</v>
      </c>
      <c r="B96" s="2"/>
      <c r="C96" t="str">
        <f>_xlfn.XLOOKUP(tblAlocacao[[#This Row],[TURMA]],tblTurmas[CODIGO_TURMA],tblTurmas[ID_TURMA],"")</f>
        <v/>
      </c>
      <c r="E96" t="str">
        <f>_xlfn.XLOOKUP(tblAlocacao[[#This Row],[DISCIPLINA]],tblDisciplinas[NOME_DISCIPLINA],tblDisciplinas[ID_DISCIPLINA],"")</f>
        <v/>
      </c>
      <c r="F96" s="40"/>
      <c r="G96" t="str">
        <f>_xlfn.XLOOKUP(tblAlocacao[[#This Row],[Nome do Instrutor]],tblInstrutores[NOME_COMPLETO],tblInstrutores[ID],"")</f>
        <v/>
      </c>
      <c r="H96" t="str">
        <f>_xlfn.XLOOKUP(tblAlocacao[[#This Row],[TURMA]],tblTurmas[CODIGO_TURMA],tblTurmas[INSTRUTOR],"")</f>
        <v/>
      </c>
      <c r="I96" t="str">
        <f>_xlfn.XLOOKUP(tblAlocacao[[#This Row],[AMBIENTE]],tblAmbientes[NOME_AMBIENTE],tblAmbientes[ID],"")</f>
        <v/>
      </c>
      <c r="K96" t="str">
        <f>_xlfn.XLOOKUP(tblAlocacao[[#This Row],['#VALOR!]],tblTurnos[TURNO],tblTurnos[ID_TURNO],"")</f>
        <v/>
      </c>
      <c r="L96" t="str">
        <f>_xlfn.XLOOKUP(tblAlocacao[[#This Row],[TURMA]],tblTurmas[CODIGO_TURMA],tblTurmas[TURNO],"")</f>
        <v/>
      </c>
      <c r="M96" t="str">
        <f>_xlfn.XLOOKUP(tblAlocacao[[#This Row],[MODALIDADE]], tblModalidades[MODALIDADE], tblModalidades[ID_MODALIDADE],"")</f>
        <v/>
      </c>
      <c r="O96" s="32"/>
      <c r="P96" s="32"/>
      <c r="Q96" s="33" t="e">
        <f>($P96-$O96)-_xlfn.XLOOKUP(tblAlocacao[[#This Row],[TURMA]],tblTurmas[CODIGO_TURMA],tblTurmas[INTERVALO],"")</f>
        <v>#VALUE!</v>
      </c>
    </row>
    <row r="97" spans="1:17" x14ac:dyDescent="0.35">
      <c r="A97">
        <v>96</v>
      </c>
      <c r="B97" s="2"/>
      <c r="C97" t="str">
        <f>_xlfn.XLOOKUP(tblAlocacao[[#This Row],[TURMA]],tblTurmas[CODIGO_TURMA],tblTurmas[ID_TURMA],"")</f>
        <v/>
      </c>
      <c r="E97" t="str">
        <f>_xlfn.XLOOKUP(tblAlocacao[[#This Row],[DISCIPLINA]],tblDisciplinas[NOME_DISCIPLINA],tblDisciplinas[ID_DISCIPLINA],"")</f>
        <v/>
      </c>
      <c r="F97" s="40"/>
      <c r="G97" t="str">
        <f>_xlfn.XLOOKUP(tblAlocacao[[#This Row],[Nome do Instrutor]],tblInstrutores[NOME_COMPLETO],tblInstrutores[ID],"")</f>
        <v/>
      </c>
      <c r="H97" t="str">
        <f>_xlfn.XLOOKUP(tblAlocacao[[#This Row],[TURMA]],tblTurmas[CODIGO_TURMA],tblTurmas[INSTRUTOR],"")</f>
        <v/>
      </c>
      <c r="I97" t="str">
        <f>_xlfn.XLOOKUP(tblAlocacao[[#This Row],[AMBIENTE]],tblAmbientes[NOME_AMBIENTE],tblAmbientes[ID],"")</f>
        <v/>
      </c>
      <c r="K97" t="str">
        <f>_xlfn.XLOOKUP(tblAlocacao[[#This Row],['#VALOR!]],tblTurnos[TURNO],tblTurnos[ID_TURNO],"")</f>
        <v/>
      </c>
      <c r="L97" t="str">
        <f>_xlfn.XLOOKUP(tblAlocacao[[#This Row],[TURMA]],tblTurmas[CODIGO_TURMA],tblTurmas[TURNO],"")</f>
        <v/>
      </c>
      <c r="M97" t="str">
        <f>_xlfn.XLOOKUP(tblAlocacao[[#This Row],[MODALIDADE]], tblModalidades[MODALIDADE], tblModalidades[ID_MODALIDADE],"")</f>
        <v/>
      </c>
      <c r="O97" s="32"/>
      <c r="P97" s="32"/>
      <c r="Q97" s="33" t="e">
        <f>($P97-$O97)-_xlfn.XLOOKUP(tblAlocacao[[#This Row],[TURMA]],tblTurmas[CODIGO_TURMA],tblTurmas[INTERVALO],"")</f>
        <v>#VALUE!</v>
      </c>
    </row>
    <row r="98" spans="1:17" x14ac:dyDescent="0.35">
      <c r="A98">
        <v>97</v>
      </c>
      <c r="B98" s="2"/>
      <c r="C98" t="str">
        <f>_xlfn.XLOOKUP(tblAlocacao[[#This Row],[TURMA]],tblTurmas[CODIGO_TURMA],tblTurmas[ID_TURMA],"")</f>
        <v/>
      </c>
      <c r="E98" t="str">
        <f>_xlfn.XLOOKUP(tblAlocacao[[#This Row],[DISCIPLINA]],tblDisciplinas[NOME_DISCIPLINA],tblDisciplinas[ID_DISCIPLINA],"")</f>
        <v/>
      </c>
      <c r="F98" s="40"/>
      <c r="G98" t="str">
        <f>_xlfn.XLOOKUP(tblAlocacao[[#This Row],[Nome do Instrutor]],tblInstrutores[NOME_COMPLETO],tblInstrutores[ID],"")</f>
        <v/>
      </c>
      <c r="H98" t="str">
        <f>_xlfn.XLOOKUP(tblAlocacao[[#This Row],[TURMA]],tblTurmas[CODIGO_TURMA],tblTurmas[INSTRUTOR],"")</f>
        <v/>
      </c>
      <c r="I98" t="str">
        <f>_xlfn.XLOOKUP(tblAlocacao[[#This Row],[AMBIENTE]],tblAmbientes[NOME_AMBIENTE],tblAmbientes[ID],"")</f>
        <v/>
      </c>
      <c r="K98" t="str">
        <f>_xlfn.XLOOKUP(tblAlocacao[[#This Row],['#VALOR!]],tblTurnos[TURNO],tblTurnos[ID_TURNO],"")</f>
        <v/>
      </c>
      <c r="L98" t="str">
        <f>_xlfn.XLOOKUP(tblAlocacao[[#This Row],[TURMA]],tblTurmas[CODIGO_TURMA],tblTurmas[TURNO],"")</f>
        <v/>
      </c>
      <c r="M98" t="str">
        <f>_xlfn.XLOOKUP(tblAlocacao[[#This Row],[MODALIDADE]], tblModalidades[MODALIDADE], tblModalidades[ID_MODALIDADE],"")</f>
        <v/>
      </c>
      <c r="O98" s="32"/>
      <c r="P98" s="32"/>
      <c r="Q98" s="33" t="e">
        <f>($P98-$O98)-_xlfn.XLOOKUP(tblAlocacao[[#This Row],[TURMA]],tblTurmas[CODIGO_TURMA],tblTurmas[INTERVALO],"")</f>
        <v>#VALUE!</v>
      </c>
    </row>
    <row r="99" spans="1:17" x14ac:dyDescent="0.35">
      <c r="A99">
        <v>98</v>
      </c>
      <c r="B99" s="2"/>
      <c r="C99" t="str">
        <f>_xlfn.XLOOKUP(tblAlocacao[[#This Row],[TURMA]],tblTurmas[CODIGO_TURMA],tblTurmas[ID_TURMA],"")</f>
        <v/>
      </c>
      <c r="E99" t="str">
        <f>_xlfn.XLOOKUP(tblAlocacao[[#This Row],[DISCIPLINA]],tblDisciplinas[NOME_DISCIPLINA],tblDisciplinas[ID_DISCIPLINA],"")</f>
        <v/>
      </c>
      <c r="F99" s="40"/>
      <c r="G99" t="str">
        <f>_xlfn.XLOOKUP(tblAlocacao[[#This Row],[Nome do Instrutor]],tblInstrutores[NOME_COMPLETO],tblInstrutores[ID],"")</f>
        <v/>
      </c>
      <c r="H99" t="str">
        <f>_xlfn.XLOOKUP(tblAlocacao[[#This Row],[TURMA]],tblTurmas[CODIGO_TURMA],tblTurmas[INSTRUTOR],"")</f>
        <v/>
      </c>
      <c r="I99" t="str">
        <f>_xlfn.XLOOKUP(tblAlocacao[[#This Row],[AMBIENTE]],tblAmbientes[NOME_AMBIENTE],tblAmbientes[ID],"")</f>
        <v/>
      </c>
      <c r="K99" t="str">
        <f>_xlfn.XLOOKUP(tblAlocacao[[#This Row],['#VALOR!]],tblTurnos[TURNO],tblTurnos[ID_TURNO],"")</f>
        <v/>
      </c>
      <c r="L99" t="str">
        <f>_xlfn.XLOOKUP(tblAlocacao[[#This Row],[TURMA]],tblTurmas[CODIGO_TURMA],tblTurmas[TURNO],"")</f>
        <v/>
      </c>
      <c r="M99" t="str">
        <f>_xlfn.XLOOKUP(tblAlocacao[[#This Row],[MODALIDADE]], tblModalidades[MODALIDADE], tblModalidades[ID_MODALIDADE],"")</f>
        <v/>
      </c>
      <c r="O99" s="32"/>
      <c r="P99" s="32"/>
      <c r="Q99" s="33" t="e">
        <f>($P99-$O99)-_xlfn.XLOOKUP(tblAlocacao[[#This Row],[TURMA]],tblTurmas[CODIGO_TURMA],tblTurmas[INTERVALO],"")</f>
        <v>#VALUE!</v>
      </c>
    </row>
    <row r="100" spans="1:17" x14ac:dyDescent="0.35">
      <c r="A100">
        <v>99</v>
      </c>
      <c r="B100" s="2"/>
      <c r="C100" t="str">
        <f>_xlfn.XLOOKUP(tblAlocacao[[#This Row],[TURMA]],tblTurmas[CODIGO_TURMA],tblTurmas[ID_TURMA],"")</f>
        <v/>
      </c>
      <c r="E100" t="str">
        <f>_xlfn.XLOOKUP(tblAlocacao[[#This Row],[DISCIPLINA]],tblDisciplinas[NOME_DISCIPLINA],tblDisciplinas[ID_DISCIPLINA],"")</f>
        <v/>
      </c>
      <c r="F100" s="40"/>
      <c r="G100" t="str">
        <f>_xlfn.XLOOKUP(tblAlocacao[[#This Row],[Nome do Instrutor]],tblInstrutores[NOME_COMPLETO],tblInstrutores[ID],"")</f>
        <v/>
      </c>
      <c r="H100" t="str">
        <f>_xlfn.XLOOKUP(tblAlocacao[[#This Row],[TURMA]],tblTurmas[CODIGO_TURMA],tblTurmas[INSTRUTOR],"")</f>
        <v/>
      </c>
      <c r="I100" t="str">
        <f>_xlfn.XLOOKUP(tblAlocacao[[#This Row],[AMBIENTE]],tblAmbientes[NOME_AMBIENTE],tblAmbientes[ID],"")</f>
        <v/>
      </c>
      <c r="K100" t="str">
        <f>_xlfn.XLOOKUP(tblAlocacao[[#This Row],['#VALOR!]],tblTurnos[TURNO],tblTurnos[ID_TURNO],"")</f>
        <v/>
      </c>
      <c r="L100" t="str">
        <f>_xlfn.XLOOKUP(tblAlocacao[[#This Row],[TURMA]],tblTurmas[CODIGO_TURMA],tblTurmas[TURNO],"")</f>
        <v/>
      </c>
      <c r="M100" t="str">
        <f>_xlfn.XLOOKUP(tblAlocacao[[#This Row],[MODALIDADE]], tblModalidades[MODALIDADE], tblModalidades[ID_MODALIDADE],"")</f>
        <v/>
      </c>
      <c r="O100" s="32"/>
      <c r="P100" s="32"/>
      <c r="Q100" s="33" t="e">
        <f>($P100-$O100)-_xlfn.XLOOKUP(tblAlocacao[[#This Row],[TURMA]],tblTurmas[CODIGO_TURMA],tblTurmas[INTERVALO],"")</f>
        <v>#VALUE!</v>
      </c>
    </row>
    <row r="101" spans="1:17" x14ac:dyDescent="0.35">
      <c r="A101">
        <v>100</v>
      </c>
      <c r="B101" s="2"/>
      <c r="C101" t="str">
        <f>_xlfn.XLOOKUP(tblAlocacao[[#This Row],[TURMA]],tblTurmas[CODIGO_TURMA],tblTurmas[ID_TURMA],"")</f>
        <v/>
      </c>
      <c r="E101" t="str">
        <f>_xlfn.XLOOKUP(tblAlocacao[[#This Row],[DISCIPLINA]],tblDisciplinas[NOME_DISCIPLINA],tblDisciplinas[ID_DISCIPLINA],"")</f>
        <v/>
      </c>
      <c r="F101" s="40"/>
      <c r="G101" t="str">
        <f>_xlfn.XLOOKUP(tblAlocacao[[#This Row],[Nome do Instrutor]],tblInstrutores[NOME_COMPLETO],tblInstrutores[ID],"")</f>
        <v/>
      </c>
      <c r="H101" t="str">
        <f>_xlfn.XLOOKUP(tblAlocacao[[#This Row],[TURMA]],tblTurmas[CODIGO_TURMA],tblTurmas[INSTRUTOR],"")</f>
        <v/>
      </c>
      <c r="I101" t="str">
        <f>_xlfn.XLOOKUP(tblAlocacao[[#This Row],[AMBIENTE]],tblAmbientes[NOME_AMBIENTE],tblAmbientes[ID],"")</f>
        <v/>
      </c>
      <c r="K101" t="str">
        <f>_xlfn.XLOOKUP(tblAlocacao[[#This Row],['#VALOR!]],tblTurnos[TURNO],tblTurnos[ID_TURNO],"")</f>
        <v/>
      </c>
      <c r="L101" t="str">
        <f>_xlfn.XLOOKUP(tblAlocacao[[#This Row],[TURMA]],tblTurmas[CODIGO_TURMA],tblTurmas[TURNO],"")</f>
        <v/>
      </c>
      <c r="M101" t="str">
        <f>_xlfn.XLOOKUP(tblAlocacao[[#This Row],[MODALIDADE]], tblModalidades[MODALIDADE], tblModalidades[ID_MODALIDADE],"")</f>
        <v/>
      </c>
      <c r="O101" s="32"/>
      <c r="P101" s="32"/>
      <c r="Q101" s="33" t="e">
        <f>($P101-$O101)-_xlfn.XLOOKUP(tblAlocacao[[#This Row],[TURMA]],tblTurmas[CODIGO_TURMA],tblTurmas[INTERVALO],"")</f>
        <v>#VALUE!</v>
      </c>
    </row>
    <row r="102" spans="1:17" x14ac:dyDescent="0.35">
      <c r="A102">
        <v>101</v>
      </c>
      <c r="B102" s="2"/>
      <c r="C102" t="str">
        <f>_xlfn.XLOOKUP(tblAlocacao[[#This Row],[TURMA]],tblTurmas[CODIGO_TURMA],tblTurmas[ID_TURMA],"")</f>
        <v/>
      </c>
      <c r="E102" t="str">
        <f>_xlfn.XLOOKUP(tblAlocacao[[#This Row],[DISCIPLINA]],tblDisciplinas[NOME_DISCIPLINA],tblDisciplinas[ID_DISCIPLINA],"")</f>
        <v/>
      </c>
      <c r="F102" s="40"/>
      <c r="G102" t="str">
        <f>_xlfn.XLOOKUP(tblAlocacao[[#This Row],[Nome do Instrutor]],tblInstrutores[NOME_COMPLETO],tblInstrutores[ID],"")</f>
        <v/>
      </c>
      <c r="H102" t="str">
        <f>_xlfn.XLOOKUP(tblAlocacao[[#This Row],[TURMA]],tblTurmas[CODIGO_TURMA],tblTurmas[INSTRUTOR],"")</f>
        <v/>
      </c>
      <c r="I102" t="str">
        <f>_xlfn.XLOOKUP(tblAlocacao[[#This Row],[AMBIENTE]],tblAmbientes[NOME_AMBIENTE],tblAmbientes[ID],"")</f>
        <v/>
      </c>
      <c r="K102" t="str">
        <f>_xlfn.XLOOKUP(tblAlocacao[[#This Row],['#VALOR!]],tblTurnos[TURNO],tblTurnos[ID_TURNO],"")</f>
        <v/>
      </c>
      <c r="L102" t="str">
        <f>_xlfn.XLOOKUP(tblAlocacao[[#This Row],[TURMA]],tblTurmas[CODIGO_TURMA],tblTurmas[TURNO],"")</f>
        <v/>
      </c>
      <c r="M102" t="str">
        <f>_xlfn.XLOOKUP(tblAlocacao[[#This Row],[MODALIDADE]], tblModalidades[MODALIDADE], tblModalidades[ID_MODALIDADE],"")</f>
        <v/>
      </c>
      <c r="O102" s="32"/>
      <c r="P102" s="32"/>
      <c r="Q102" s="33" t="e">
        <f>($P102-$O102)-_xlfn.XLOOKUP(tblAlocacao[[#This Row],[TURMA]],tblTurmas[CODIGO_TURMA],tblTurmas[INTERVALO],"")</f>
        <v>#VALUE!</v>
      </c>
    </row>
    <row r="103" spans="1:17" x14ac:dyDescent="0.35">
      <c r="A103">
        <v>102</v>
      </c>
      <c r="B103" s="2"/>
      <c r="C103" t="str">
        <f>_xlfn.XLOOKUP(tblAlocacao[[#This Row],[TURMA]],tblTurmas[CODIGO_TURMA],tblTurmas[ID_TURMA],"")</f>
        <v/>
      </c>
      <c r="E103" t="str">
        <f>_xlfn.XLOOKUP(tblAlocacao[[#This Row],[DISCIPLINA]],tblDisciplinas[NOME_DISCIPLINA],tblDisciplinas[ID_DISCIPLINA],"")</f>
        <v/>
      </c>
      <c r="F103" s="40"/>
      <c r="G103" t="str">
        <f>_xlfn.XLOOKUP(tblAlocacao[[#This Row],[Nome do Instrutor]],tblInstrutores[NOME_COMPLETO],tblInstrutores[ID],"")</f>
        <v/>
      </c>
      <c r="H103" t="str">
        <f>_xlfn.XLOOKUP(tblAlocacao[[#This Row],[TURMA]],tblTurmas[CODIGO_TURMA],tblTurmas[INSTRUTOR],"")</f>
        <v/>
      </c>
      <c r="I103" t="str">
        <f>_xlfn.XLOOKUP(tblAlocacao[[#This Row],[AMBIENTE]],tblAmbientes[NOME_AMBIENTE],tblAmbientes[ID],"")</f>
        <v/>
      </c>
      <c r="K103" t="str">
        <f>_xlfn.XLOOKUP(tblAlocacao[[#This Row],['#VALOR!]],tblTurnos[TURNO],tblTurnos[ID_TURNO],"")</f>
        <v/>
      </c>
      <c r="L103" t="str">
        <f>_xlfn.XLOOKUP(tblAlocacao[[#This Row],[TURMA]],tblTurmas[CODIGO_TURMA],tblTurmas[TURNO],"")</f>
        <v/>
      </c>
      <c r="M103" t="str">
        <f>_xlfn.XLOOKUP(tblAlocacao[[#This Row],[MODALIDADE]], tblModalidades[MODALIDADE], tblModalidades[ID_MODALIDADE],"")</f>
        <v/>
      </c>
      <c r="O103" s="32"/>
      <c r="P103" s="32"/>
      <c r="Q103" s="33" t="e">
        <f>($P103-$O103)-_xlfn.XLOOKUP(tblAlocacao[[#This Row],[TURMA]],tblTurmas[CODIGO_TURMA],tblTurmas[INTERVALO],"")</f>
        <v>#VALUE!</v>
      </c>
    </row>
    <row r="104" spans="1:17" x14ac:dyDescent="0.35">
      <c r="A104">
        <v>103</v>
      </c>
      <c r="B104" s="2"/>
      <c r="C104" t="str">
        <f>_xlfn.XLOOKUP(tblAlocacao[[#This Row],[TURMA]],tblTurmas[CODIGO_TURMA],tblTurmas[ID_TURMA],"")</f>
        <v/>
      </c>
      <c r="E104" t="str">
        <f>_xlfn.XLOOKUP(tblAlocacao[[#This Row],[DISCIPLINA]],tblDisciplinas[NOME_DISCIPLINA],tblDisciplinas[ID_DISCIPLINA],"")</f>
        <v/>
      </c>
      <c r="F104" s="40"/>
      <c r="G104" t="str">
        <f>_xlfn.XLOOKUP(tblAlocacao[[#This Row],[Nome do Instrutor]],tblInstrutores[NOME_COMPLETO],tblInstrutores[ID],"")</f>
        <v/>
      </c>
      <c r="H104" t="str">
        <f>_xlfn.XLOOKUP(tblAlocacao[[#This Row],[TURMA]],tblTurmas[CODIGO_TURMA],tblTurmas[INSTRUTOR],"")</f>
        <v/>
      </c>
      <c r="I104" t="str">
        <f>_xlfn.XLOOKUP(tblAlocacao[[#This Row],[AMBIENTE]],tblAmbientes[NOME_AMBIENTE],tblAmbientes[ID],"")</f>
        <v/>
      </c>
      <c r="K104" t="str">
        <f>_xlfn.XLOOKUP(tblAlocacao[[#This Row],['#VALOR!]],tblTurnos[TURNO],tblTurnos[ID_TURNO],"")</f>
        <v/>
      </c>
      <c r="L104" t="str">
        <f>_xlfn.XLOOKUP(tblAlocacao[[#This Row],[TURMA]],tblTurmas[CODIGO_TURMA],tblTurmas[TURNO],"")</f>
        <v/>
      </c>
      <c r="M104" t="str">
        <f>_xlfn.XLOOKUP(tblAlocacao[[#This Row],[MODALIDADE]], tblModalidades[MODALIDADE], tblModalidades[ID_MODALIDADE],"")</f>
        <v/>
      </c>
      <c r="O104" s="32"/>
      <c r="P104" s="32"/>
      <c r="Q104" s="33" t="e">
        <f>($P104-$O104)-_xlfn.XLOOKUP(tblAlocacao[[#This Row],[TURMA]],tblTurmas[CODIGO_TURMA],tblTurmas[INTERVALO],"")</f>
        <v>#VALUE!</v>
      </c>
    </row>
    <row r="105" spans="1:17" x14ac:dyDescent="0.35">
      <c r="A105">
        <v>104</v>
      </c>
      <c r="B105" s="2"/>
      <c r="C105" t="str">
        <f>_xlfn.XLOOKUP(tblAlocacao[[#This Row],[TURMA]],tblTurmas[CODIGO_TURMA],tblTurmas[ID_TURMA],"")</f>
        <v/>
      </c>
      <c r="E105" t="str">
        <f>_xlfn.XLOOKUP(tblAlocacao[[#This Row],[DISCIPLINA]],tblDisciplinas[NOME_DISCIPLINA],tblDisciplinas[ID_DISCIPLINA],"")</f>
        <v/>
      </c>
      <c r="F105" s="40"/>
      <c r="G105" t="str">
        <f>_xlfn.XLOOKUP(tblAlocacao[[#This Row],[Nome do Instrutor]],tblInstrutores[NOME_COMPLETO],tblInstrutores[ID],"")</f>
        <v/>
      </c>
      <c r="H105" t="str">
        <f>_xlfn.XLOOKUP(tblAlocacao[[#This Row],[TURMA]],tblTurmas[CODIGO_TURMA],tblTurmas[INSTRUTOR],"")</f>
        <v/>
      </c>
      <c r="I105" t="str">
        <f>_xlfn.XLOOKUP(tblAlocacao[[#This Row],[AMBIENTE]],tblAmbientes[NOME_AMBIENTE],tblAmbientes[ID],"")</f>
        <v/>
      </c>
      <c r="K105" t="str">
        <f>_xlfn.XLOOKUP(tblAlocacao[[#This Row],['#VALOR!]],tblTurnos[TURNO],tblTurnos[ID_TURNO],"")</f>
        <v/>
      </c>
      <c r="L105" t="str">
        <f>_xlfn.XLOOKUP(tblAlocacao[[#This Row],[TURMA]],tblTurmas[CODIGO_TURMA],tblTurmas[TURNO],"")</f>
        <v/>
      </c>
      <c r="M105" t="str">
        <f>_xlfn.XLOOKUP(tblAlocacao[[#This Row],[MODALIDADE]], tblModalidades[MODALIDADE], tblModalidades[ID_MODALIDADE],"")</f>
        <v/>
      </c>
      <c r="O105" s="32"/>
      <c r="P105" s="32"/>
      <c r="Q105" s="33" t="e">
        <f>($P105-$O105)-_xlfn.XLOOKUP(tblAlocacao[[#This Row],[TURMA]],tblTurmas[CODIGO_TURMA],tblTurmas[INTERVALO],"")</f>
        <v>#VALUE!</v>
      </c>
    </row>
    <row r="106" spans="1:17" x14ac:dyDescent="0.35">
      <c r="A106">
        <v>105</v>
      </c>
      <c r="B106" s="2"/>
      <c r="C106" t="str">
        <f>_xlfn.XLOOKUP(tblAlocacao[[#This Row],[TURMA]],tblTurmas[CODIGO_TURMA],tblTurmas[ID_TURMA],"")</f>
        <v/>
      </c>
      <c r="E106" t="str">
        <f>_xlfn.XLOOKUP(tblAlocacao[[#This Row],[DISCIPLINA]],tblDisciplinas[NOME_DISCIPLINA],tblDisciplinas[ID_DISCIPLINA],"")</f>
        <v/>
      </c>
      <c r="F106" s="40"/>
      <c r="G106" t="str">
        <f>_xlfn.XLOOKUP(tblAlocacao[[#This Row],[Nome do Instrutor]],tblInstrutores[NOME_COMPLETO],tblInstrutores[ID],"")</f>
        <v/>
      </c>
      <c r="H106" t="str">
        <f>_xlfn.XLOOKUP(tblAlocacao[[#This Row],[TURMA]],tblTurmas[CODIGO_TURMA],tblTurmas[INSTRUTOR],"")</f>
        <v/>
      </c>
      <c r="I106" t="str">
        <f>_xlfn.XLOOKUP(tblAlocacao[[#This Row],[AMBIENTE]],tblAmbientes[NOME_AMBIENTE],tblAmbientes[ID],"")</f>
        <v/>
      </c>
      <c r="K106" t="str">
        <f>_xlfn.XLOOKUP(tblAlocacao[[#This Row],['#VALOR!]],tblTurnos[TURNO],tblTurnos[ID_TURNO],"")</f>
        <v/>
      </c>
      <c r="L106" t="str">
        <f>_xlfn.XLOOKUP(tblAlocacao[[#This Row],[TURMA]],tblTurmas[CODIGO_TURMA],tblTurmas[TURNO],"")</f>
        <v/>
      </c>
      <c r="M106" t="str">
        <f>_xlfn.XLOOKUP(tblAlocacao[[#This Row],[MODALIDADE]], tblModalidades[MODALIDADE], tblModalidades[ID_MODALIDADE],"")</f>
        <v/>
      </c>
      <c r="O106" s="32"/>
      <c r="P106" s="32"/>
      <c r="Q106" s="33" t="e">
        <f>($P106-$O106)-_xlfn.XLOOKUP(tblAlocacao[[#This Row],[TURMA]],tblTurmas[CODIGO_TURMA],tblTurmas[INTERVALO],"")</f>
        <v>#VALUE!</v>
      </c>
    </row>
    <row r="107" spans="1:17" x14ac:dyDescent="0.35">
      <c r="A107">
        <v>106</v>
      </c>
      <c r="B107" s="2"/>
      <c r="C107" t="str">
        <f>_xlfn.XLOOKUP(tblAlocacao[[#This Row],[TURMA]],tblTurmas[CODIGO_TURMA],tblTurmas[ID_TURMA],"")</f>
        <v/>
      </c>
      <c r="E107" t="str">
        <f>_xlfn.XLOOKUP(tblAlocacao[[#This Row],[DISCIPLINA]],tblDisciplinas[NOME_DISCIPLINA],tblDisciplinas[ID_DISCIPLINA],"")</f>
        <v/>
      </c>
      <c r="F107" s="40"/>
      <c r="G107" t="str">
        <f>_xlfn.XLOOKUP(tblAlocacao[[#This Row],[Nome do Instrutor]],tblInstrutores[NOME_COMPLETO],tblInstrutores[ID],"")</f>
        <v/>
      </c>
      <c r="H107" t="str">
        <f>_xlfn.XLOOKUP(tblAlocacao[[#This Row],[TURMA]],tblTurmas[CODIGO_TURMA],tblTurmas[INSTRUTOR],"")</f>
        <v/>
      </c>
      <c r="I107" t="str">
        <f>_xlfn.XLOOKUP(tblAlocacao[[#This Row],[AMBIENTE]],tblAmbientes[NOME_AMBIENTE],tblAmbientes[ID],"")</f>
        <v/>
      </c>
      <c r="K107" t="str">
        <f>_xlfn.XLOOKUP(tblAlocacao[[#This Row],['#VALOR!]],tblTurnos[TURNO],tblTurnos[ID_TURNO],"")</f>
        <v/>
      </c>
      <c r="L107" t="str">
        <f>_xlfn.XLOOKUP(tblAlocacao[[#This Row],[TURMA]],tblTurmas[CODIGO_TURMA],tblTurmas[TURNO],"")</f>
        <v/>
      </c>
      <c r="M107" t="str">
        <f>_xlfn.XLOOKUP(tblAlocacao[[#This Row],[MODALIDADE]], tblModalidades[MODALIDADE], tblModalidades[ID_MODALIDADE],"")</f>
        <v/>
      </c>
      <c r="O107" s="32"/>
      <c r="P107" s="32"/>
      <c r="Q107" s="33" t="e">
        <f>($P107-$O107)-_xlfn.XLOOKUP(tblAlocacao[[#This Row],[TURMA]],tblTurmas[CODIGO_TURMA],tblTurmas[INTERVALO],"")</f>
        <v>#VALUE!</v>
      </c>
    </row>
    <row r="108" spans="1:17" x14ac:dyDescent="0.35">
      <c r="A108">
        <v>107</v>
      </c>
      <c r="B108" s="2"/>
      <c r="C108" t="str">
        <f>_xlfn.XLOOKUP(tblAlocacao[[#This Row],[TURMA]],tblTurmas[CODIGO_TURMA],tblTurmas[ID_TURMA],"")</f>
        <v/>
      </c>
      <c r="E108" t="str">
        <f>_xlfn.XLOOKUP(tblAlocacao[[#This Row],[DISCIPLINA]],tblDisciplinas[NOME_DISCIPLINA],tblDisciplinas[ID_DISCIPLINA],"")</f>
        <v/>
      </c>
      <c r="F108" s="40"/>
      <c r="G108" t="str">
        <f>_xlfn.XLOOKUP(tblAlocacao[[#This Row],[Nome do Instrutor]],tblInstrutores[NOME_COMPLETO],tblInstrutores[ID],"")</f>
        <v/>
      </c>
      <c r="H108" t="str">
        <f>_xlfn.XLOOKUP(tblAlocacao[[#This Row],[TURMA]],tblTurmas[CODIGO_TURMA],tblTurmas[INSTRUTOR],"")</f>
        <v/>
      </c>
      <c r="I108" t="str">
        <f>_xlfn.XLOOKUP(tblAlocacao[[#This Row],[AMBIENTE]],tblAmbientes[NOME_AMBIENTE],tblAmbientes[ID],"")</f>
        <v/>
      </c>
      <c r="K108" t="str">
        <f>_xlfn.XLOOKUP(tblAlocacao[[#This Row],['#VALOR!]],tblTurnos[TURNO],tblTurnos[ID_TURNO],"")</f>
        <v/>
      </c>
      <c r="L108" t="str">
        <f>_xlfn.XLOOKUP(tblAlocacao[[#This Row],[TURMA]],tblTurmas[CODIGO_TURMA],tblTurmas[TURNO],"")</f>
        <v/>
      </c>
      <c r="M108" t="str">
        <f>_xlfn.XLOOKUP(tblAlocacao[[#This Row],[MODALIDADE]], tblModalidades[MODALIDADE], tblModalidades[ID_MODALIDADE],"")</f>
        <v/>
      </c>
      <c r="O108" s="32"/>
      <c r="P108" s="32"/>
      <c r="Q108" s="33" t="e">
        <f>($P108-$O108)-_xlfn.XLOOKUP(tblAlocacao[[#This Row],[TURMA]],tblTurmas[CODIGO_TURMA],tblTurmas[INTERVALO],"")</f>
        <v>#VALUE!</v>
      </c>
    </row>
    <row r="109" spans="1:17" x14ac:dyDescent="0.35">
      <c r="A109">
        <v>108</v>
      </c>
      <c r="B109" s="2"/>
      <c r="C109" t="str">
        <f>_xlfn.XLOOKUP(tblAlocacao[[#This Row],[TURMA]],tblTurmas[CODIGO_TURMA],tblTurmas[ID_TURMA],"")</f>
        <v/>
      </c>
      <c r="E109" t="str">
        <f>_xlfn.XLOOKUP(tblAlocacao[[#This Row],[DISCIPLINA]],tblDisciplinas[NOME_DISCIPLINA],tblDisciplinas[ID_DISCIPLINA],"")</f>
        <v/>
      </c>
      <c r="F109" s="40"/>
      <c r="G109" t="str">
        <f>_xlfn.XLOOKUP(tblAlocacao[[#This Row],[Nome do Instrutor]],tblInstrutores[NOME_COMPLETO],tblInstrutores[ID],"")</f>
        <v/>
      </c>
      <c r="H109" t="str">
        <f>_xlfn.XLOOKUP(tblAlocacao[[#This Row],[TURMA]],tblTurmas[CODIGO_TURMA],tblTurmas[INSTRUTOR],"")</f>
        <v/>
      </c>
      <c r="I109" t="str">
        <f>_xlfn.XLOOKUP(tblAlocacao[[#This Row],[AMBIENTE]],tblAmbientes[NOME_AMBIENTE],tblAmbientes[ID],"")</f>
        <v/>
      </c>
      <c r="K109" t="str">
        <f>_xlfn.XLOOKUP(tblAlocacao[[#This Row],['#VALOR!]],tblTurnos[TURNO],tblTurnos[ID_TURNO],"")</f>
        <v/>
      </c>
      <c r="L109" t="str">
        <f>_xlfn.XLOOKUP(tblAlocacao[[#This Row],[TURMA]],tblTurmas[CODIGO_TURMA],tblTurmas[TURNO],"")</f>
        <v/>
      </c>
      <c r="M109" t="str">
        <f>_xlfn.XLOOKUP(tblAlocacao[[#This Row],[MODALIDADE]], tblModalidades[MODALIDADE], tblModalidades[ID_MODALIDADE],"")</f>
        <v/>
      </c>
      <c r="O109" s="32"/>
      <c r="P109" s="32"/>
      <c r="Q109" s="33" t="e">
        <f>($P109-$O109)-_xlfn.XLOOKUP(tblAlocacao[[#This Row],[TURMA]],tblTurmas[CODIGO_TURMA],tblTurmas[INTERVALO],"")</f>
        <v>#VALUE!</v>
      </c>
    </row>
    <row r="110" spans="1:17" x14ac:dyDescent="0.35">
      <c r="A110">
        <v>109</v>
      </c>
      <c r="B110" s="2"/>
      <c r="C110" t="str">
        <f>_xlfn.XLOOKUP(tblAlocacao[[#This Row],[TURMA]],tblTurmas[CODIGO_TURMA],tblTurmas[ID_TURMA],"")</f>
        <v/>
      </c>
      <c r="E110" t="str">
        <f>_xlfn.XLOOKUP(tblAlocacao[[#This Row],[DISCIPLINA]],tblDisciplinas[NOME_DISCIPLINA],tblDisciplinas[ID_DISCIPLINA],"")</f>
        <v/>
      </c>
      <c r="F110" s="40"/>
      <c r="G110" t="str">
        <f>_xlfn.XLOOKUP(tblAlocacao[[#This Row],[Nome do Instrutor]],tblInstrutores[NOME_COMPLETO],tblInstrutores[ID],"")</f>
        <v/>
      </c>
      <c r="H110" t="str">
        <f>_xlfn.XLOOKUP(tblAlocacao[[#This Row],[TURMA]],tblTurmas[CODIGO_TURMA],tblTurmas[INSTRUTOR],"")</f>
        <v/>
      </c>
      <c r="I110" t="str">
        <f>_xlfn.XLOOKUP(tblAlocacao[[#This Row],[AMBIENTE]],tblAmbientes[NOME_AMBIENTE],tblAmbientes[ID],"")</f>
        <v/>
      </c>
      <c r="K110" t="str">
        <f>_xlfn.XLOOKUP(tblAlocacao[[#This Row],['#VALOR!]],tblTurnos[TURNO],tblTurnos[ID_TURNO],"")</f>
        <v/>
      </c>
      <c r="L110" t="str">
        <f>_xlfn.XLOOKUP(tblAlocacao[[#This Row],[TURMA]],tblTurmas[CODIGO_TURMA],tblTurmas[TURNO],"")</f>
        <v/>
      </c>
      <c r="M110" t="str">
        <f>_xlfn.XLOOKUP(tblAlocacao[[#This Row],[MODALIDADE]], tblModalidades[MODALIDADE], tblModalidades[ID_MODALIDADE],"")</f>
        <v/>
      </c>
      <c r="O110" s="32"/>
      <c r="P110" s="32"/>
      <c r="Q110" s="33" t="e">
        <f>($P110-$O110)-_xlfn.XLOOKUP(tblAlocacao[[#This Row],[TURMA]],tblTurmas[CODIGO_TURMA],tblTurmas[INTERVALO],"")</f>
        <v>#VALUE!</v>
      </c>
    </row>
    <row r="111" spans="1:17" x14ac:dyDescent="0.35">
      <c r="A111">
        <v>110</v>
      </c>
      <c r="B111" s="2"/>
      <c r="C111" t="str">
        <f>_xlfn.XLOOKUP(tblAlocacao[[#This Row],[TURMA]],tblTurmas[CODIGO_TURMA],tblTurmas[ID_TURMA],"")</f>
        <v/>
      </c>
      <c r="E111" t="str">
        <f>_xlfn.XLOOKUP(tblAlocacao[[#This Row],[DISCIPLINA]],tblDisciplinas[NOME_DISCIPLINA],tblDisciplinas[ID_DISCIPLINA],"")</f>
        <v/>
      </c>
      <c r="F111" s="40"/>
      <c r="G111" t="str">
        <f>_xlfn.XLOOKUP(tblAlocacao[[#This Row],[Nome do Instrutor]],tblInstrutores[NOME_COMPLETO],tblInstrutores[ID],"")</f>
        <v/>
      </c>
      <c r="H111" t="str">
        <f>_xlfn.XLOOKUP(tblAlocacao[[#This Row],[TURMA]],tblTurmas[CODIGO_TURMA],tblTurmas[INSTRUTOR],"")</f>
        <v/>
      </c>
      <c r="I111" t="str">
        <f>_xlfn.XLOOKUP(tblAlocacao[[#This Row],[AMBIENTE]],tblAmbientes[NOME_AMBIENTE],tblAmbientes[ID],"")</f>
        <v/>
      </c>
      <c r="K111" t="str">
        <f>_xlfn.XLOOKUP(tblAlocacao[[#This Row],['#VALOR!]],tblTurnos[TURNO],tblTurnos[ID_TURNO],"")</f>
        <v/>
      </c>
      <c r="L111" t="str">
        <f>_xlfn.XLOOKUP(tblAlocacao[[#This Row],[TURMA]],tblTurmas[CODIGO_TURMA],tblTurmas[TURNO],"")</f>
        <v/>
      </c>
      <c r="M111" t="str">
        <f>_xlfn.XLOOKUP(tblAlocacao[[#This Row],[MODALIDADE]], tblModalidades[MODALIDADE], tblModalidades[ID_MODALIDADE],"")</f>
        <v/>
      </c>
      <c r="O111" s="32"/>
      <c r="P111" s="32"/>
      <c r="Q111" s="33" t="e">
        <f>($P111-$O111)-_xlfn.XLOOKUP(tblAlocacao[[#This Row],[TURMA]],tblTurmas[CODIGO_TURMA],tblTurmas[INTERVALO],"")</f>
        <v>#VALUE!</v>
      </c>
    </row>
    <row r="112" spans="1:17" x14ac:dyDescent="0.35">
      <c r="A112">
        <v>111</v>
      </c>
      <c r="B112" s="2"/>
      <c r="C112" t="str">
        <f>_xlfn.XLOOKUP(tblAlocacao[[#This Row],[TURMA]],tblTurmas[CODIGO_TURMA],tblTurmas[ID_TURMA],"")</f>
        <v/>
      </c>
      <c r="E112" t="str">
        <f>_xlfn.XLOOKUP(tblAlocacao[[#This Row],[DISCIPLINA]],tblDisciplinas[NOME_DISCIPLINA],tblDisciplinas[ID_DISCIPLINA],"")</f>
        <v/>
      </c>
      <c r="F112" s="40"/>
      <c r="G112" t="str">
        <f>_xlfn.XLOOKUP(tblAlocacao[[#This Row],[Nome do Instrutor]],tblInstrutores[NOME_COMPLETO],tblInstrutores[ID],"")</f>
        <v/>
      </c>
      <c r="H112" t="str">
        <f>_xlfn.XLOOKUP(tblAlocacao[[#This Row],[TURMA]],tblTurmas[CODIGO_TURMA],tblTurmas[INSTRUTOR],"")</f>
        <v/>
      </c>
      <c r="I112" t="str">
        <f>_xlfn.XLOOKUP(tblAlocacao[[#This Row],[AMBIENTE]],tblAmbientes[NOME_AMBIENTE],tblAmbientes[ID],"")</f>
        <v/>
      </c>
      <c r="K112" t="str">
        <f>_xlfn.XLOOKUP(tblAlocacao[[#This Row],['#VALOR!]],tblTurnos[TURNO],tblTurnos[ID_TURNO],"")</f>
        <v/>
      </c>
      <c r="L112" t="str">
        <f>_xlfn.XLOOKUP(tblAlocacao[[#This Row],[TURMA]],tblTurmas[CODIGO_TURMA],tblTurmas[TURNO],"")</f>
        <v/>
      </c>
      <c r="M112" t="str">
        <f>_xlfn.XLOOKUP(tblAlocacao[[#This Row],[MODALIDADE]], tblModalidades[MODALIDADE], tblModalidades[ID_MODALIDADE],"")</f>
        <v/>
      </c>
      <c r="O112" s="32"/>
      <c r="P112" s="32"/>
      <c r="Q112" s="33" t="e">
        <f>($P112-$O112)-_xlfn.XLOOKUP(tblAlocacao[[#This Row],[TURMA]],tblTurmas[CODIGO_TURMA],tblTurmas[INTERVALO],"")</f>
        <v>#VALUE!</v>
      </c>
    </row>
    <row r="113" spans="1:17" x14ac:dyDescent="0.35">
      <c r="A113">
        <v>112</v>
      </c>
      <c r="B113" s="2"/>
      <c r="C113" t="str">
        <f>_xlfn.XLOOKUP(tblAlocacao[[#This Row],[TURMA]],tblTurmas[CODIGO_TURMA],tblTurmas[ID_TURMA],"")</f>
        <v/>
      </c>
      <c r="E113" t="str">
        <f>_xlfn.XLOOKUP(tblAlocacao[[#This Row],[DISCIPLINA]],tblDisciplinas[NOME_DISCIPLINA],tblDisciplinas[ID_DISCIPLINA],"")</f>
        <v/>
      </c>
      <c r="F113" s="40"/>
      <c r="G113" t="str">
        <f>_xlfn.XLOOKUP(tblAlocacao[[#This Row],[Nome do Instrutor]],tblInstrutores[NOME_COMPLETO],tblInstrutores[ID],"")</f>
        <v/>
      </c>
      <c r="H113" t="str">
        <f>_xlfn.XLOOKUP(tblAlocacao[[#This Row],[TURMA]],tblTurmas[CODIGO_TURMA],tblTurmas[INSTRUTOR],"")</f>
        <v/>
      </c>
      <c r="I113" t="str">
        <f>_xlfn.XLOOKUP(tblAlocacao[[#This Row],[AMBIENTE]],tblAmbientes[NOME_AMBIENTE],tblAmbientes[ID],"")</f>
        <v/>
      </c>
      <c r="K113" t="str">
        <f>_xlfn.XLOOKUP(tblAlocacao[[#This Row],['#VALOR!]],tblTurnos[TURNO],tblTurnos[ID_TURNO],"")</f>
        <v/>
      </c>
      <c r="L113" t="str">
        <f>_xlfn.XLOOKUP(tblAlocacao[[#This Row],[TURMA]],tblTurmas[CODIGO_TURMA],tblTurmas[TURNO],"")</f>
        <v/>
      </c>
      <c r="M113" t="str">
        <f>_xlfn.XLOOKUP(tblAlocacao[[#This Row],[MODALIDADE]], tblModalidades[MODALIDADE], tblModalidades[ID_MODALIDADE],"")</f>
        <v/>
      </c>
      <c r="O113" s="32"/>
      <c r="P113" s="32"/>
      <c r="Q113" s="33" t="e">
        <f>($P113-$O113)-_xlfn.XLOOKUP(tblAlocacao[[#This Row],[TURMA]],tblTurmas[CODIGO_TURMA],tblTurmas[INTERVALO],"")</f>
        <v>#VALUE!</v>
      </c>
    </row>
    <row r="114" spans="1:17" x14ac:dyDescent="0.35">
      <c r="A114">
        <v>113</v>
      </c>
      <c r="B114" s="2"/>
      <c r="C114" t="str">
        <f>_xlfn.XLOOKUP(tblAlocacao[[#This Row],[TURMA]],tblTurmas[CODIGO_TURMA],tblTurmas[ID_TURMA],"")</f>
        <v/>
      </c>
      <c r="E114" t="str">
        <f>_xlfn.XLOOKUP(tblAlocacao[[#This Row],[DISCIPLINA]],tblDisciplinas[NOME_DISCIPLINA],tblDisciplinas[ID_DISCIPLINA],"")</f>
        <v/>
      </c>
      <c r="F114" s="40"/>
      <c r="G114" t="str">
        <f>_xlfn.XLOOKUP(tblAlocacao[[#This Row],[Nome do Instrutor]],tblInstrutores[NOME_COMPLETO],tblInstrutores[ID],"")</f>
        <v/>
      </c>
      <c r="H114" t="str">
        <f>_xlfn.XLOOKUP(tblAlocacao[[#This Row],[TURMA]],tblTurmas[CODIGO_TURMA],tblTurmas[INSTRUTOR],"")</f>
        <v/>
      </c>
      <c r="I114" t="str">
        <f>_xlfn.XLOOKUP(tblAlocacao[[#This Row],[AMBIENTE]],tblAmbientes[NOME_AMBIENTE],tblAmbientes[ID],"")</f>
        <v/>
      </c>
      <c r="K114" t="str">
        <f>_xlfn.XLOOKUP(tblAlocacao[[#This Row],['#VALOR!]],tblTurnos[TURNO],tblTurnos[ID_TURNO],"")</f>
        <v/>
      </c>
      <c r="L114" t="str">
        <f>_xlfn.XLOOKUP(tblAlocacao[[#This Row],[TURMA]],tblTurmas[CODIGO_TURMA],tblTurmas[TURNO],"")</f>
        <v/>
      </c>
      <c r="M114" t="str">
        <f>_xlfn.XLOOKUP(tblAlocacao[[#This Row],[MODALIDADE]], tblModalidades[MODALIDADE], tblModalidades[ID_MODALIDADE],"")</f>
        <v/>
      </c>
      <c r="O114" s="32"/>
      <c r="P114" s="32"/>
      <c r="Q114" s="33" t="e">
        <f>($P114-$O114)-_xlfn.XLOOKUP(tblAlocacao[[#This Row],[TURMA]],tblTurmas[CODIGO_TURMA],tblTurmas[INTERVALO],"")</f>
        <v>#VALUE!</v>
      </c>
    </row>
    <row r="115" spans="1:17" x14ac:dyDescent="0.35">
      <c r="A115">
        <v>114</v>
      </c>
      <c r="B115" s="2"/>
      <c r="C115" t="str">
        <f>_xlfn.XLOOKUP(tblAlocacao[[#This Row],[TURMA]],tblTurmas[CODIGO_TURMA],tblTurmas[ID_TURMA],"")</f>
        <v/>
      </c>
      <c r="E115" t="str">
        <f>_xlfn.XLOOKUP(tblAlocacao[[#This Row],[DISCIPLINA]],tblDisciplinas[NOME_DISCIPLINA],tblDisciplinas[ID_DISCIPLINA],"")</f>
        <v/>
      </c>
      <c r="F115" s="40"/>
      <c r="G115" t="str">
        <f>_xlfn.XLOOKUP(tblAlocacao[[#This Row],[Nome do Instrutor]],tblInstrutores[NOME_COMPLETO],tblInstrutores[ID],"")</f>
        <v/>
      </c>
      <c r="H115" t="str">
        <f>_xlfn.XLOOKUP(tblAlocacao[[#This Row],[TURMA]],tblTurmas[CODIGO_TURMA],tblTurmas[INSTRUTOR],"")</f>
        <v/>
      </c>
      <c r="I115" t="str">
        <f>_xlfn.XLOOKUP(tblAlocacao[[#This Row],[AMBIENTE]],tblAmbientes[NOME_AMBIENTE],tblAmbientes[ID],"")</f>
        <v/>
      </c>
      <c r="K115" t="str">
        <f>_xlfn.XLOOKUP(tblAlocacao[[#This Row],['#VALOR!]],tblTurnos[TURNO],tblTurnos[ID_TURNO],"")</f>
        <v/>
      </c>
      <c r="L115" t="str">
        <f>_xlfn.XLOOKUP(tblAlocacao[[#This Row],[TURMA]],tblTurmas[CODIGO_TURMA],tblTurmas[TURNO],"")</f>
        <v/>
      </c>
      <c r="M115" t="str">
        <f>_xlfn.XLOOKUP(tblAlocacao[[#This Row],[MODALIDADE]], tblModalidades[MODALIDADE], tblModalidades[ID_MODALIDADE],"")</f>
        <v/>
      </c>
      <c r="O115" s="32"/>
      <c r="P115" s="32"/>
      <c r="Q115" s="33" t="e">
        <f>($P115-$O115)-_xlfn.XLOOKUP(tblAlocacao[[#This Row],[TURMA]],tblTurmas[CODIGO_TURMA],tblTurmas[INTERVALO],"")</f>
        <v>#VALUE!</v>
      </c>
    </row>
    <row r="116" spans="1:17" x14ac:dyDescent="0.35">
      <c r="A116">
        <v>115</v>
      </c>
      <c r="B116" s="2"/>
      <c r="C116" t="str">
        <f>_xlfn.XLOOKUP(tblAlocacao[[#This Row],[TURMA]],tblTurmas[CODIGO_TURMA],tblTurmas[ID_TURMA],"")</f>
        <v/>
      </c>
      <c r="E116" t="str">
        <f>_xlfn.XLOOKUP(tblAlocacao[[#This Row],[DISCIPLINA]],tblDisciplinas[NOME_DISCIPLINA],tblDisciplinas[ID_DISCIPLINA],"")</f>
        <v/>
      </c>
      <c r="F116" s="40"/>
      <c r="G116" t="str">
        <f>_xlfn.XLOOKUP(tblAlocacao[[#This Row],[Nome do Instrutor]],tblInstrutores[NOME_COMPLETO],tblInstrutores[ID],"")</f>
        <v/>
      </c>
      <c r="H116" t="str">
        <f>_xlfn.XLOOKUP(tblAlocacao[[#This Row],[TURMA]],tblTurmas[CODIGO_TURMA],tblTurmas[INSTRUTOR],"")</f>
        <v/>
      </c>
      <c r="I116" t="str">
        <f>_xlfn.XLOOKUP(tblAlocacao[[#This Row],[AMBIENTE]],tblAmbientes[NOME_AMBIENTE],tblAmbientes[ID],"")</f>
        <v/>
      </c>
      <c r="K116" t="str">
        <f>_xlfn.XLOOKUP(tblAlocacao[[#This Row],['#VALOR!]],tblTurnos[TURNO],tblTurnos[ID_TURNO],"")</f>
        <v/>
      </c>
      <c r="L116" t="str">
        <f>_xlfn.XLOOKUP(tblAlocacao[[#This Row],[TURMA]],tblTurmas[CODIGO_TURMA],tblTurmas[TURNO],"")</f>
        <v/>
      </c>
      <c r="M116" t="str">
        <f>_xlfn.XLOOKUP(tblAlocacao[[#This Row],[MODALIDADE]], tblModalidades[MODALIDADE], tblModalidades[ID_MODALIDADE],"")</f>
        <v/>
      </c>
      <c r="O116" s="32"/>
      <c r="P116" s="32"/>
      <c r="Q116" s="33" t="e">
        <f>($P116-$O116)-_xlfn.XLOOKUP(tblAlocacao[[#This Row],[TURMA]],tblTurmas[CODIGO_TURMA],tblTurmas[INTERVALO],"")</f>
        <v>#VALUE!</v>
      </c>
    </row>
    <row r="117" spans="1:17" x14ac:dyDescent="0.35">
      <c r="A117">
        <v>116</v>
      </c>
      <c r="B117" s="2"/>
      <c r="C117" t="str">
        <f>_xlfn.XLOOKUP(tblAlocacao[[#This Row],[TURMA]],tblTurmas[CODIGO_TURMA],tblTurmas[ID_TURMA],"")</f>
        <v/>
      </c>
      <c r="E117" t="str">
        <f>_xlfn.XLOOKUP(tblAlocacao[[#This Row],[DISCIPLINA]],tblDisciplinas[NOME_DISCIPLINA],tblDisciplinas[ID_DISCIPLINA],"")</f>
        <v/>
      </c>
      <c r="F117" s="40"/>
      <c r="G117" t="str">
        <f>_xlfn.XLOOKUP(tblAlocacao[[#This Row],[Nome do Instrutor]],tblInstrutores[NOME_COMPLETO],tblInstrutores[ID],"")</f>
        <v/>
      </c>
      <c r="H117" t="str">
        <f>_xlfn.XLOOKUP(tblAlocacao[[#This Row],[TURMA]],tblTurmas[CODIGO_TURMA],tblTurmas[INSTRUTOR],"")</f>
        <v/>
      </c>
      <c r="I117" t="str">
        <f>_xlfn.XLOOKUP(tblAlocacao[[#This Row],[AMBIENTE]],tblAmbientes[NOME_AMBIENTE],tblAmbientes[ID],"")</f>
        <v/>
      </c>
      <c r="K117" t="str">
        <f>_xlfn.XLOOKUP(tblAlocacao[[#This Row],['#VALOR!]],tblTurnos[TURNO],tblTurnos[ID_TURNO],"")</f>
        <v/>
      </c>
      <c r="L117" t="str">
        <f>_xlfn.XLOOKUP(tblAlocacao[[#This Row],[TURMA]],tblTurmas[CODIGO_TURMA],tblTurmas[TURNO],"")</f>
        <v/>
      </c>
      <c r="M117" t="str">
        <f>_xlfn.XLOOKUP(tblAlocacao[[#This Row],[MODALIDADE]], tblModalidades[MODALIDADE], tblModalidades[ID_MODALIDADE],"")</f>
        <v/>
      </c>
      <c r="O117" s="32"/>
      <c r="P117" s="32"/>
      <c r="Q117" s="33" t="e">
        <f>($P117-$O117)-_xlfn.XLOOKUP(tblAlocacao[[#This Row],[TURMA]],tblTurmas[CODIGO_TURMA],tblTurmas[INTERVALO],"")</f>
        <v>#VALUE!</v>
      </c>
    </row>
    <row r="118" spans="1:17" x14ac:dyDescent="0.35">
      <c r="A118">
        <v>117</v>
      </c>
      <c r="B118" s="2"/>
      <c r="C118" t="str">
        <f>_xlfn.XLOOKUP(tblAlocacao[[#This Row],[TURMA]],tblTurmas[CODIGO_TURMA],tblTurmas[ID_TURMA],"")</f>
        <v/>
      </c>
      <c r="E118" t="str">
        <f>_xlfn.XLOOKUP(tblAlocacao[[#This Row],[DISCIPLINA]],tblDisciplinas[NOME_DISCIPLINA],tblDisciplinas[ID_DISCIPLINA],"")</f>
        <v/>
      </c>
      <c r="F118" s="40"/>
      <c r="G118" t="str">
        <f>_xlfn.XLOOKUP(tblAlocacao[[#This Row],[Nome do Instrutor]],tblInstrutores[NOME_COMPLETO],tblInstrutores[ID],"")</f>
        <v/>
      </c>
      <c r="H118" t="str">
        <f>_xlfn.XLOOKUP(tblAlocacao[[#This Row],[TURMA]],tblTurmas[CODIGO_TURMA],tblTurmas[INSTRUTOR],"")</f>
        <v/>
      </c>
      <c r="I118" t="str">
        <f>_xlfn.XLOOKUP(tblAlocacao[[#This Row],[AMBIENTE]],tblAmbientes[NOME_AMBIENTE],tblAmbientes[ID],"")</f>
        <v/>
      </c>
      <c r="K118" t="str">
        <f>_xlfn.XLOOKUP(tblAlocacao[[#This Row],['#VALOR!]],tblTurnos[TURNO],tblTurnos[ID_TURNO],"")</f>
        <v/>
      </c>
      <c r="L118" t="str">
        <f>_xlfn.XLOOKUP(tblAlocacao[[#This Row],[TURMA]],tblTurmas[CODIGO_TURMA],tblTurmas[TURNO],"")</f>
        <v/>
      </c>
      <c r="M118" t="str">
        <f>_xlfn.XLOOKUP(tblAlocacao[[#This Row],[MODALIDADE]], tblModalidades[MODALIDADE], tblModalidades[ID_MODALIDADE],"")</f>
        <v/>
      </c>
      <c r="O118" s="32"/>
      <c r="P118" s="32"/>
      <c r="Q118" s="33" t="e">
        <f>($P118-$O118)-_xlfn.XLOOKUP(tblAlocacao[[#This Row],[TURMA]],tblTurmas[CODIGO_TURMA],tblTurmas[INTERVALO],"")</f>
        <v>#VALUE!</v>
      </c>
    </row>
    <row r="119" spans="1:17" x14ac:dyDescent="0.35">
      <c r="A119">
        <v>118</v>
      </c>
      <c r="B119" s="2"/>
      <c r="C119" t="str">
        <f>_xlfn.XLOOKUP(tblAlocacao[[#This Row],[TURMA]],tblTurmas[CODIGO_TURMA],tblTurmas[ID_TURMA],"")</f>
        <v/>
      </c>
      <c r="E119" t="str">
        <f>_xlfn.XLOOKUP(tblAlocacao[[#This Row],[DISCIPLINA]],tblDisciplinas[NOME_DISCIPLINA],tblDisciplinas[ID_DISCIPLINA],"")</f>
        <v/>
      </c>
      <c r="F119" s="40"/>
      <c r="G119" t="str">
        <f>_xlfn.XLOOKUP(tblAlocacao[[#This Row],[Nome do Instrutor]],tblInstrutores[NOME_COMPLETO],tblInstrutores[ID],"")</f>
        <v/>
      </c>
      <c r="H119" t="str">
        <f>_xlfn.XLOOKUP(tblAlocacao[[#This Row],[TURMA]],tblTurmas[CODIGO_TURMA],tblTurmas[INSTRUTOR],"")</f>
        <v/>
      </c>
      <c r="I119" t="str">
        <f>_xlfn.XLOOKUP(tblAlocacao[[#This Row],[AMBIENTE]],tblAmbientes[NOME_AMBIENTE],tblAmbientes[ID],"")</f>
        <v/>
      </c>
      <c r="K119" t="str">
        <f>_xlfn.XLOOKUP(tblAlocacao[[#This Row],['#VALOR!]],tblTurnos[TURNO],tblTurnos[ID_TURNO],"")</f>
        <v/>
      </c>
      <c r="L119" t="str">
        <f>_xlfn.XLOOKUP(tblAlocacao[[#This Row],[TURMA]],tblTurmas[CODIGO_TURMA],tblTurmas[TURNO],"")</f>
        <v/>
      </c>
      <c r="M119" t="str">
        <f>_xlfn.XLOOKUP(tblAlocacao[[#This Row],[MODALIDADE]], tblModalidades[MODALIDADE], tblModalidades[ID_MODALIDADE],"")</f>
        <v/>
      </c>
      <c r="O119" s="32"/>
      <c r="P119" s="32"/>
      <c r="Q119" s="33" t="e">
        <f>($P119-$O119)-_xlfn.XLOOKUP(tblAlocacao[[#This Row],[TURMA]],tblTurmas[CODIGO_TURMA],tblTurmas[INTERVALO],"")</f>
        <v>#VALUE!</v>
      </c>
    </row>
    <row r="120" spans="1:17" x14ac:dyDescent="0.35">
      <c r="A120">
        <v>119</v>
      </c>
      <c r="B120" s="2"/>
      <c r="C120" t="str">
        <f>_xlfn.XLOOKUP(tblAlocacao[[#This Row],[TURMA]],tblTurmas[CODIGO_TURMA],tblTurmas[ID_TURMA],"")</f>
        <v/>
      </c>
      <c r="E120" t="str">
        <f>_xlfn.XLOOKUP(tblAlocacao[[#This Row],[DISCIPLINA]],tblDisciplinas[NOME_DISCIPLINA],tblDisciplinas[ID_DISCIPLINA],"")</f>
        <v/>
      </c>
      <c r="F120" s="40"/>
      <c r="G120" t="str">
        <f>_xlfn.XLOOKUP(tblAlocacao[[#This Row],[Nome do Instrutor]],tblInstrutores[NOME_COMPLETO],tblInstrutores[ID],"")</f>
        <v/>
      </c>
      <c r="H120" t="str">
        <f>_xlfn.XLOOKUP(tblAlocacao[[#This Row],[TURMA]],tblTurmas[CODIGO_TURMA],tblTurmas[INSTRUTOR],"")</f>
        <v/>
      </c>
      <c r="I120" t="str">
        <f>_xlfn.XLOOKUP(tblAlocacao[[#This Row],[AMBIENTE]],tblAmbientes[NOME_AMBIENTE],tblAmbientes[ID],"")</f>
        <v/>
      </c>
      <c r="K120" t="str">
        <f>_xlfn.XLOOKUP(tblAlocacao[[#This Row],['#VALOR!]],tblTurnos[TURNO],tblTurnos[ID_TURNO],"")</f>
        <v/>
      </c>
      <c r="L120" t="str">
        <f>_xlfn.XLOOKUP(tblAlocacao[[#This Row],[TURMA]],tblTurmas[CODIGO_TURMA],tblTurmas[TURNO],"")</f>
        <v/>
      </c>
      <c r="M120" t="str">
        <f>_xlfn.XLOOKUP(tblAlocacao[[#This Row],[MODALIDADE]], tblModalidades[MODALIDADE], tblModalidades[ID_MODALIDADE],"")</f>
        <v/>
      </c>
      <c r="O120" s="32"/>
      <c r="P120" s="32"/>
      <c r="Q120" s="33" t="e">
        <f>($P120-$O120)-_xlfn.XLOOKUP(tblAlocacao[[#This Row],[TURMA]],tblTurmas[CODIGO_TURMA],tblTurmas[INTERVALO],"")</f>
        <v>#VALUE!</v>
      </c>
    </row>
    <row r="121" spans="1:17" x14ac:dyDescent="0.35">
      <c r="A121">
        <v>120</v>
      </c>
      <c r="B121" s="2"/>
      <c r="C121" t="str">
        <f>_xlfn.XLOOKUP(tblAlocacao[[#This Row],[TURMA]],tblTurmas[CODIGO_TURMA],tblTurmas[ID_TURMA],"")</f>
        <v/>
      </c>
      <c r="E121" t="str">
        <f>_xlfn.XLOOKUP(tblAlocacao[[#This Row],[DISCIPLINA]],tblDisciplinas[NOME_DISCIPLINA],tblDisciplinas[ID_DISCIPLINA],"")</f>
        <v/>
      </c>
      <c r="F121" s="40"/>
      <c r="G121" t="str">
        <f>_xlfn.XLOOKUP(tblAlocacao[[#This Row],[Nome do Instrutor]],tblInstrutores[NOME_COMPLETO],tblInstrutores[ID],"")</f>
        <v/>
      </c>
      <c r="H121" t="str">
        <f>_xlfn.XLOOKUP(tblAlocacao[[#This Row],[TURMA]],tblTurmas[CODIGO_TURMA],tblTurmas[INSTRUTOR],"")</f>
        <v/>
      </c>
      <c r="I121" t="str">
        <f>_xlfn.XLOOKUP(tblAlocacao[[#This Row],[AMBIENTE]],tblAmbientes[NOME_AMBIENTE],tblAmbientes[ID],"")</f>
        <v/>
      </c>
      <c r="K121" t="str">
        <f>_xlfn.XLOOKUP(tblAlocacao[[#This Row],['#VALOR!]],tblTurnos[TURNO],tblTurnos[ID_TURNO],"")</f>
        <v/>
      </c>
      <c r="L121" t="str">
        <f>_xlfn.XLOOKUP(tblAlocacao[[#This Row],[TURMA]],tblTurmas[CODIGO_TURMA],tblTurmas[TURNO],"")</f>
        <v/>
      </c>
      <c r="M121" t="str">
        <f>_xlfn.XLOOKUP(tblAlocacao[[#This Row],[MODALIDADE]], tblModalidades[MODALIDADE], tblModalidades[ID_MODALIDADE],"")</f>
        <v/>
      </c>
      <c r="O121" s="32"/>
      <c r="P121" s="32"/>
      <c r="Q121" s="33" t="e">
        <f>($P121-$O121)-_xlfn.XLOOKUP(tblAlocacao[[#This Row],[TURMA]],tblTurmas[CODIGO_TURMA],tblTurmas[INTERVALO],"")</f>
        <v>#VALUE!</v>
      </c>
    </row>
    <row r="122" spans="1:17" x14ac:dyDescent="0.35">
      <c r="A122">
        <v>121</v>
      </c>
      <c r="B122" s="2"/>
      <c r="C122" t="str">
        <f>_xlfn.XLOOKUP(tblAlocacao[[#This Row],[TURMA]],tblTurmas[CODIGO_TURMA],tblTurmas[ID_TURMA],"")</f>
        <v/>
      </c>
      <c r="E122" t="str">
        <f>_xlfn.XLOOKUP(tblAlocacao[[#This Row],[DISCIPLINA]],tblDisciplinas[NOME_DISCIPLINA],tblDisciplinas[ID_DISCIPLINA],"")</f>
        <v/>
      </c>
      <c r="F122" s="40"/>
      <c r="G122" t="str">
        <f>_xlfn.XLOOKUP(tblAlocacao[[#This Row],[Nome do Instrutor]],tblInstrutores[NOME_COMPLETO],tblInstrutores[ID],"")</f>
        <v/>
      </c>
      <c r="H122" t="str">
        <f>_xlfn.XLOOKUP(tblAlocacao[[#This Row],[TURMA]],tblTurmas[CODIGO_TURMA],tblTurmas[INSTRUTOR],"")</f>
        <v/>
      </c>
      <c r="I122" t="str">
        <f>_xlfn.XLOOKUP(tblAlocacao[[#This Row],[AMBIENTE]],tblAmbientes[NOME_AMBIENTE],tblAmbientes[ID],"")</f>
        <v/>
      </c>
      <c r="K122" t="str">
        <f>_xlfn.XLOOKUP(tblAlocacao[[#This Row],['#VALOR!]],tblTurnos[TURNO],tblTurnos[ID_TURNO],"")</f>
        <v/>
      </c>
      <c r="L122" t="str">
        <f>_xlfn.XLOOKUP(tblAlocacao[[#This Row],[TURMA]],tblTurmas[CODIGO_TURMA],tblTurmas[TURNO],"")</f>
        <v/>
      </c>
      <c r="M122" t="str">
        <f>_xlfn.XLOOKUP(tblAlocacao[[#This Row],[MODALIDADE]], tblModalidades[MODALIDADE], tblModalidades[ID_MODALIDADE],"")</f>
        <v/>
      </c>
      <c r="O122" s="32"/>
      <c r="P122" s="32"/>
      <c r="Q122" s="33" t="e">
        <f>($P122-$O122)-_xlfn.XLOOKUP(tblAlocacao[[#This Row],[TURMA]],tblTurmas[CODIGO_TURMA],tblTurmas[INTERVALO],"")</f>
        <v>#VALUE!</v>
      </c>
    </row>
    <row r="123" spans="1:17" x14ac:dyDescent="0.35">
      <c r="A123">
        <v>122</v>
      </c>
      <c r="B123" s="2"/>
      <c r="C123" t="str">
        <f>_xlfn.XLOOKUP(tblAlocacao[[#This Row],[TURMA]],tblTurmas[CODIGO_TURMA],tblTurmas[ID_TURMA],"")</f>
        <v/>
      </c>
      <c r="E123" t="str">
        <f>_xlfn.XLOOKUP(tblAlocacao[[#This Row],[DISCIPLINA]],tblDisciplinas[NOME_DISCIPLINA],tblDisciplinas[ID_DISCIPLINA],"")</f>
        <v/>
      </c>
      <c r="F123" s="40"/>
      <c r="G123" t="str">
        <f>_xlfn.XLOOKUP(tblAlocacao[[#This Row],[Nome do Instrutor]],tblInstrutores[NOME_COMPLETO],tblInstrutores[ID],"")</f>
        <v/>
      </c>
      <c r="H123" t="str">
        <f>_xlfn.XLOOKUP(tblAlocacao[[#This Row],[TURMA]],tblTurmas[CODIGO_TURMA],tblTurmas[INSTRUTOR],"")</f>
        <v/>
      </c>
      <c r="I123" t="str">
        <f>_xlfn.XLOOKUP(tblAlocacao[[#This Row],[AMBIENTE]],tblAmbientes[NOME_AMBIENTE],tblAmbientes[ID],"")</f>
        <v/>
      </c>
      <c r="K123" t="str">
        <f>_xlfn.XLOOKUP(tblAlocacao[[#This Row],['#VALOR!]],tblTurnos[TURNO],tblTurnos[ID_TURNO],"")</f>
        <v/>
      </c>
      <c r="L123" t="str">
        <f>_xlfn.XLOOKUP(tblAlocacao[[#This Row],[TURMA]],tblTurmas[CODIGO_TURMA],tblTurmas[TURNO],"")</f>
        <v/>
      </c>
      <c r="M123" t="str">
        <f>_xlfn.XLOOKUP(tblAlocacao[[#This Row],[MODALIDADE]], tblModalidades[MODALIDADE], tblModalidades[ID_MODALIDADE],"")</f>
        <v/>
      </c>
      <c r="O123" s="32"/>
      <c r="P123" s="32"/>
      <c r="Q123" s="33" t="e">
        <f>($P123-$O123)-_xlfn.XLOOKUP(tblAlocacao[[#This Row],[TURMA]],tblTurmas[CODIGO_TURMA],tblTurmas[INTERVALO],"")</f>
        <v>#VALUE!</v>
      </c>
    </row>
    <row r="124" spans="1:17" x14ac:dyDescent="0.35">
      <c r="A124">
        <v>123</v>
      </c>
      <c r="B124" s="2"/>
      <c r="C124" t="str">
        <f>_xlfn.XLOOKUP(tblAlocacao[[#This Row],[TURMA]],tblTurmas[CODIGO_TURMA],tblTurmas[ID_TURMA],"")</f>
        <v/>
      </c>
      <c r="E124" t="str">
        <f>_xlfn.XLOOKUP(tblAlocacao[[#This Row],[DISCIPLINA]],tblDisciplinas[NOME_DISCIPLINA],tblDisciplinas[ID_DISCIPLINA],"")</f>
        <v/>
      </c>
      <c r="F124" s="40"/>
      <c r="G124" t="str">
        <f>_xlfn.XLOOKUP(tblAlocacao[[#This Row],[Nome do Instrutor]],tblInstrutores[NOME_COMPLETO],tblInstrutores[ID],"")</f>
        <v/>
      </c>
      <c r="H124" t="str">
        <f>_xlfn.XLOOKUP(tblAlocacao[[#This Row],[TURMA]],tblTurmas[CODIGO_TURMA],tblTurmas[INSTRUTOR],"")</f>
        <v/>
      </c>
      <c r="I124" t="str">
        <f>_xlfn.XLOOKUP(tblAlocacao[[#This Row],[AMBIENTE]],tblAmbientes[NOME_AMBIENTE],tblAmbientes[ID],"")</f>
        <v/>
      </c>
      <c r="K124" t="str">
        <f>_xlfn.XLOOKUP(tblAlocacao[[#This Row],['#VALOR!]],tblTurnos[TURNO],tblTurnos[ID_TURNO],"")</f>
        <v/>
      </c>
      <c r="L124" t="str">
        <f>_xlfn.XLOOKUP(tblAlocacao[[#This Row],[TURMA]],tblTurmas[CODIGO_TURMA],tblTurmas[TURNO],"")</f>
        <v/>
      </c>
      <c r="M124" t="str">
        <f>_xlfn.XLOOKUP(tblAlocacao[[#This Row],[MODALIDADE]], tblModalidades[MODALIDADE], tblModalidades[ID_MODALIDADE],"")</f>
        <v/>
      </c>
      <c r="O124" s="32"/>
      <c r="P124" s="32"/>
      <c r="Q124" s="33" t="e">
        <f>($P124-$O124)-_xlfn.XLOOKUP(tblAlocacao[[#This Row],[TURMA]],tblTurmas[CODIGO_TURMA],tblTurmas[INTERVALO],"")</f>
        <v>#VALUE!</v>
      </c>
    </row>
    <row r="125" spans="1:17" x14ac:dyDescent="0.35">
      <c r="A125">
        <v>124</v>
      </c>
      <c r="B125" s="2"/>
      <c r="C125" t="str">
        <f>_xlfn.XLOOKUP(tblAlocacao[[#This Row],[TURMA]],tblTurmas[CODIGO_TURMA],tblTurmas[ID_TURMA],"")</f>
        <v/>
      </c>
      <c r="E125" t="str">
        <f>_xlfn.XLOOKUP(tblAlocacao[[#This Row],[DISCIPLINA]],tblDisciplinas[NOME_DISCIPLINA],tblDisciplinas[ID_DISCIPLINA],"")</f>
        <v/>
      </c>
      <c r="F125" s="40"/>
      <c r="G125" t="str">
        <f>_xlfn.XLOOKUP(tblAlocacao[[#This Row],[Nome do Instrutor]],tblInstrutores[NOME_COMPLETO],tblInstrutores[ID],"")</f>
        <v/>
      </c>
      <c r="H125" t="str">
        <f>_xlfn.XLOOKUP(tblAlocacao[[#This Row],[TURMA]],tblTurmas[CODIGO_TURMA],tblTurmas[INSTRUTOR],"")</f>
        <v/>
      </c>
      <c r="I125" t="str">
        <f>_xlfn.XLOOKUP(tblAlocacao[[#This Row],[AMBIENTE]],tblAmbientes[NOME_AMBIENTE],tblAmbientes[ID],"")</f>
        <v/>
      </c>
      <c r="K125" t="str">
        <f>_xlfn.XLOOKUP(tblAlocacao[[#This Row],['#VALOR!]],tblTurnos[TURNO],tblTurnos[ID_TURNO],"")</f>
        <v/>
      </c>
      <c r="L125" t="str">
        <f>_xlfn.XLOOKUP(tblAlocacao[[#This Row],[TURMA]],tblTurmas[CODIGO_TURMA],tblTurmas[TURNO],"")</f>
        <v/>
      </c>
      <c r="M125" t="str">
        <f>_xlfn.XLOOKUP(tblAlocacao[[#This Row],[MODALIDADE]], tblModalidades[MODALIDADE], tblModalidades[ID_MODALIDADE],"")</f>
        <v/>
      </c>
      <c r="O125" s="32"/>
      <c r="P125" s="32"/>
      <c r="Q125" s="33" t="e">
        <f>($P125-$O125)-_xlfn.XLOOKUP(tblAlocacao[[#This Row],[TURMA]],tblTurmas[CODIGO_TURMA],tblTurmas[INTERVALO],"")</f>
        <v>#VALUE!</v>
      </c>
    </row>
    <row r="126" spans="1:17" x14ac:dyDescent="0.35">
      <c r="A126">
        <v>125</v>
      </c>
      <c r="B126" s="2"/>
      <c r="C126" t="str">
        <f>_xlfn.XLOOKUP(tblAlocacao[[#This Row],[TURMA]],tblTurmas[CODIGO_TURMA],tblTurmas[ID_TURMA],"")</f>
        <v/>
      </c>
      <c r="E126" t="str">
        <f>_xlfn.XLOOKUP(tblAlocacao[[#This Row],[DISCIPLINA]],tblDisciplinas[NOME_DISCIPLINA],tblDisciplinas[ID_DISCIPLINA],"")</f>
        <v/>
      </c>
      <c r="F126" s="40"/>
      <c r="G126" t="str">
        <f>_xlfn.XLOOKUP(tblAlocacao[[#This Row],[Nome do Instrutor]],tblInstrutores[NOME_COMPLETO],tblInstrutores[ID],"")</f>
        <v/>
      </c>
      <c r="H126" t="str">
        <f>_xlfn.XLOOKUP(tblAlocacao[[#This Row],[TURMA]],tblTurmas[CODIGO_TURMA],tblTurmas[INSTRUTOR],"")</f>
        <v/>
      </c>
      <c r="I126" t="str">
        <f>_xlfn.XLOOKUP(tblAlocacao[[#This Row],[AMBIENTE]],tblAmbientes[NOME_AMBIENTE],tblAmbientes[ID],"")</f>
        <v/>
      </c>
      <c r="K126" t="str">
        <f>_xlfn.XLOOKUP(tblAlocacao[[#This Row],['#VALOR!]],tblTurnos[TURNO],tblTurnos[ID_TURNO],"")</f>
        <v/>
      </c>
      <c r="L126" t="str">
        <f>_xlfn.XLOOKUP(tblAlocacao[[#This Row],[TURMA]],tblTurmas[CODIGO_TURMA],tblTurmas[TURNO],"")</f>
        <v/>
      </c>
      <c r="M126" t="str">
        <f>_xlfn.XLOOKUP(tblAlocacao[[#This Row],[MODALIDADE]], tblModalidades[MODALIDADE], tblModalidades[ID_MODALIDADE],"")</f>
        <v/>
      </c>
      <c r="O126" s="32"/>
      <c r="P126" s="32"/>
      <c r="Q126" s="33" t="e">
        <f>($P126-$O126)-_xlfn.XLOOKUP(tblAlocacao[[#This Row],[TURMA]],tblTurmas[CODIGO_TURMA],tblTurmas[INTERVALO],"")</f>
        <v>#VALUE!</v>
      </c>
    </row>
    <row r="127" spans="1:17" x14ac:dyDescent="0.35">
      <c r="A127">
        <v>126</v>
      </c>
      <c r="B127" s="2"/>
      <c r="C127" t="str">
        <f>_xlfn.XLOOKUP(tblAlocacao[[#This Row],[TURMA]],tblTurmas[CODIGO_TURMA],tblTurmas[ID_TURMA],"")</f>
        <v/>
      </c>
      <c r="E127" t="str">
        <f>_xlfn.XLOOKUP(tblAlocacao[[#This Row],[DISCIPLINA]],tblDisciplinas[NOME_DISCIPLINA],tblDisciplinas[ID_DISCIPLINA],"")</f>
        <v/>
      </c>
      <c r="F127" s="40"/>
      <c r="G127" t="str">
        <f>_xlfn.XLOOKUP(tblAlocacao[[#This Row],[Nome do Instrutor]],tblInstrutores[NOME_COMPLETO],tblInstrutores[ID],"")</f>
        <v/>
      </c>
      <c r="H127" t="str">
        <f>_xlfn.XLOOKUP(tblAlocacao[[#This Row],[TURMA]],tblTurmas[CODIGO_TURMA],tblTurmas[INSTRUTOR],"")</f>
        <v/>
      </c>
      <c r="I127" t="str">
        <f>_xlfn.XLOOKUP(tblAlocacao[[#This Row],[AMBIENTE]],tblAmbientes[NOME_AMBIENTE],tblAmbientes[ID],"")</f>
        <v/>
      </c>
      <c r="K127" t="str">
        <f>_xlfn.XLOOKUP(tblAlocacao[[#This Row],['#VALOR!]],tblTurnos[TURNO],tblTurnos[ID_TURNO],"")</f>
        <v/>
      </c>
      <c r="L127" t="str">
        <f>_xlfn.XLOOKUP(tblAlocacao[[#This Row],[TURMA]],tblTurmas[CODIGO_TURMA],tblTurmas[TURNO],"")</f>
        <v/>
      </c>
      <c r="M127" t="str">
        <f>_xlfn.XLOOKUP(tblAlocacao[[#This Row],[MODALIDADE]], tblModalidades[MODALIDADE], tblModalidades[ID_MODALIDADE],"")</f>
        <v/>
      </c>
      <c r="O127" s="32"/>
      <c r="P127" s="32"/>
      <c r="Q127" s="33" t="e">
        <f>($P127-$O127)-_xlfn.XLOOKUP(tblAlocacao[[#This Row],[TURMA]],tblTurmas[CODIGO_TURMA],tblTurmas[INTERVALO],"")</f>
        <v>#VALUE!</v>
      </c>
    </row>
    <row r="128" spans="1:17" x14ac:dyDescent="0.35">
      <c r="A128">
        <v>127</v>
      </c>
      <c r="B128" s="2"/>
      <c r="C128" t="str">
        <f>_xlfn.XLOOKUP(tblAlocacao[[#This Row],[TURMA]],tblTurmas[CODIGO_TURMA],tblTurmas[ID_TURMA],"")</f>
        <v/>
      </c>
      <c r="E128" t="str">
        <f>_xlfn.XLOOKUP(tblAlocacao[[#This Row],[DISCIPLINA]],tblDisciplinas[NOME_DISCIPLINA],tblDisciplinas[ID_DISCIPLINA],"")</f>
        <v/>
      </c>
      <c r="F128" s="40"/>
      <c r="G128" t="str">
        <f>_xlfn.XLOOKUP(tblAlocacao[[#This Row],[Nome do Instrutor]],tblInstrutores[NOME_COMPLETO],tblInstrutores[ID],"")</f>
        <v/>
      </c>
      <c r="H128" t="str">
        <f>_xlfn.XLOOKUP(tblAlocacao[[#This Row],[TURMA]],tblTurmas[CODIGO_TURMA],tblTurmas[INSTRUTOR],"")</f>
        <v/>
      </c>
      <c r="I128" t="str">
        <f>_xlfn.XLOOKUP(tblAlocacao[[#This Row],[AMBIENTE]],tblAmbientes[NOME_AMBIENTE],tblAmbientes[ID],"")</f>
        <v/>
      </c>
      <c r="K128" t="str">
        <f>_xlfn.XLOOKUP(tblAlocacao[[#This Row],['#VALOR!]],tblTurnos[TURNO],tblTurnos[ID_TURNO],"")</f>
        <v/>
      </c>
      <c r="L128" t="str">
        <f>_xlfn.XLOOKUP(tblAlocacao[[#This Row],[TURMA]],tblTurmas[CODIGO_TURMA],tblTurmas[TURNO],"")</f>
        <v/>
      </c>
      <c r="M128" t="str">
        <f>_xlfn.XLOOKUP(tblAlocacao[[#This Row],[MODALIDADE]], tblModalidades[MODALIDADE], tblModalidades[ID_MODALIDADE],"")</f>
        <v/>
      </c>
      <c r="O128" s="32"/>
      <c r="P128" s="32"/>
      <c r="Q128" s="33" t="e">
        <f>($P128-$O128)-_xlfn.XLOOKUP(tblAlocacao[[#This Row],[TURMA]],tblTurmas[CODIGO_TURMA],tblTurmas[INTERVALO],"")</f>
        <v>#VALUE!</v>
      </c>
    </row>
    <row r="129" spans="1:17" x14ac:dyDescent="0.35">
      <c r="A129">
        <v>128</v>
      </c>
      <c r="B129" s="2"/>
      <c r="C129" t="str">
        <f>_xlfn.XLOOKUP(tblAlocacao[[#This Row],[TURMA]],tblTurmas[CODIGO_TURMA],tblTurmas[ID_TURMA],"")</f>
        <v/>
      </c>
      <c r="E129" t="str">
        <f>_xlfn.XLOOKUP(tblAlocacao[[#This Row],[DISCIPLINA]],tblDisciplinas[NOME_DISCIPLINA],tblDisciplinas[ID_DISCIPLINA],"")</f>
        <v/>
      </c>
      <c r="F129" s="40"/>
      <c r="G129" t="str">
        <f>_xlfn.XLOOKUP(tblAlocacao[[#This Row],[Nome do Instrutor]],tblInstrutores[NOME_COMPLETO],tblInstrutores[ID],"")</f>
        <v/>
      </c>
      <c r="H129" t="str">
        <f>_xlfn.XLOOKUP(tblAlocacao[[#This Row],[TURMA]],tblTurmas[CODIGO_TURMA],tblTurmas[INSTRUTOR],"")</f>
        <v/>
      </c>
      <c r="I129" t="str">
        <f>_xlfn.XLOOKUP(tblAlocacao[[#This Row],[AMBIENTE]],tblAmbientes[NOME_AMBIENTE],tblAmbientes[ID],"")</f>
        <v/>
      </c>
      <c r="K129" t="str">
        <f>_xlfn.XLOOKUP(tblAlocacao[[#This Row],['#VALOR!]],tblTurnos[TURNO],tblTurnos[ID_TURNO],"")</f>
        <v/>
      </c>
      <c r="L129" t="str">
        <f>_xlfn.XLOOKUP(tblAlocacao[[#This Row],[TURMA]],tblTurmas[CODIGO_TURMA],tblTurmas[TURNO],"")</f>
        <v/>
      </c>
      <c r="M129" t="str">
        <f>_xlfn.XLOOKUP(tblAlocacao[[#This Row],[MODALIDADE]], tblModalidades[MODALIDADE], tblModalidades[ID_MODALIDADE],"")</f>
        <v/>
      </c>
      <c r="O129" s="32"/>
      <c r="P129" s="32"/>
      <c r="Q129" s="33" t="e">
        <f>($P129-$O129)-_xlfn.XLOOKUP(tblAlocacao[[#This Row],[TURMA]],tblTurmas[CODIGO_TURMA],tblTurmas[INTERVALO],"")</f>
        <v>#VALUE!</v>
      </c>
    </row>
    <row r="130" spans="1:17" x14ac:dyDescent="0.35">
      <c r="A130">
        <v>129</v>
      </c>
      <c r="B130" s="2"/>
      <c r="C130" t="str">
        <f>_xlfn.XLOOKUP(tblAlocacao[[#This Row],[TURMA]],tblTurmas[CODIGO_TURMA],tblTurmas[ID_TURMA],"")</f>
        <v/>
      </c>
      <c r="E130" t="str">
        <f>_xlfn.XLOOKUP(tblAlocacao[[#This Row],[DISCIPLINA]],tblDisciplinas[NOME_DISCIPLINA],tblDisciplinas[ID_DISCIPLINA],"")</f>
        <v/>
      </c>
      <c r="F130" s="40"/>
      <c r="G130" t="str">
        <f>_xlfn.XLOOKUP(tblAlocacao[[#This Row],[Nome do Instrutor]],tblInstrutores[NOME_COMPLETO],tblInstrutores[ID],"")</f>
        <v/>
      </c>
      <c r="H130" t="str">
        <f>_xlfn.XLOOKUP(tblAlocacao[[#This Row],[TURMA]],tblTurmas[CODIGO_TURMA],tblTurmas[INSTRUTOR],"")</f>
        <v/>
      </c>
      <c r="I130" t="str">
        <f>_xlfn.XLOOKUP(tblAlocacao[[#This Row],[AMBIENTE]],tblAmbientes[NOME_AMBIENTE],tblAmbientes[ID],"")</f>
        <v/>
      </c>
      <c r="K130" t="str">
        <f>_xlfn.XLOOKUP(tblAlocacao[[#This Row],['#VALOR!]],tblTurnos[TURNO],tblTurnos[ID_TURNO],"")</f>
        <v/>
      </c>
      <c r="L130" t="str">
        <f>_xlfn.XLOOKUP(tblAlocacao[[#This Row],[TURMA]],tblTurmas[CODIGO_TURMA],tblTurmas[TURNO],"")</f>
        <v/>
      </c>
      <c r="M130" t="str">
        <f>_xlfn.XLOOKUP(tblAlocacao[[#This Row],[MODALIDADE]], tblModalidades[MODALIDADE], tblModalidades[ID_MODALIDADE],"")</f>
        <v/>
      </c>
      <c r="O130" s="32"/>
      <c r="P130" s="32"/>
      <c r="Q130" s="33" t="e">
        <f>($P130-$O130)-_xlfn.XLOOKUP(tblAlocacao[[#This Row],[TURMA]],tblTurmas[CODIGO_TURMA],tblTurmas[INTERVALO],"")</f>
        <v>#VALUE!</v>
      </c>
    </row>
    <row r="131" spans="1:17" x14ac:dyDescent="0.35">
      <c r="A131">
        <v>130</v>
      </c>
      <c r="B131" s="2"/>
      <c r="C131" t="str">
        <f>_xlfn.XLOOKUP(tblAlocacao[[#This Row],[TURMA]],tblTurmas[CODIGO_TURMA],tblTurmas[ID_TURMA],"")</f>
        <v/>
      </c>
      <c r="E131" t="str">
        <f>_xlfn.XLOOKUP(tblAlocacao[[#This Row],[DISCIPLINA]],tblDisciplinas[NOME_DISCIPLINA],tblDisciplinas[ID_DISCIPLINA],"")</f>
        <v/>
      </c>
      <c r="F131" s="40"/>
      <c r="G131" t="str">
        <f>_xlfn.XLOOKUP(tblAlocacao[[#This Row],[Nome do Instrutor]],tblInstrutores[NOME_COMPLETO],tblInstrutores[ID],"")</f>
        <v/>
      </c>
      <c r="H131" t="str">
        <f>_xlfn.XLOOKUP(tblAlocacao[[#This Row],[TURMA]],tblTurmas[CODIGO_TURMA],tblTurmas[INSTRUTOR],"")</f>
        <v/>
      </c>
      <c r="I131" t="str">
        <f>_xlfn.XLOOKUP(tblAlocacao[[#This Row],[AMBIENTE]],tblAmbientes[NOME_AMBIENTE],tblAmbientes[ID],"")</f>
        <v/>
      </c>
      <c r="K131" t="str">
        <f>_xlfn.XLOOKUP(tblAlocacao[[#This Row],['#VALOR!]],tblTurnos[TURNO],tblTurnos[ID_TURNO],"")</f>
        <v/>
      </c>
      <c r="L131" t="str">
        <f>_xlfn.XLOOKUP(tblAlocacao[[#This Row],[TURMA]],tblTurmas[CODIGO_TURMA],tblTurmas[TURNO],"")</f>
        <v/>
      </c>
      <c r="M131" t="str">
        <f>_xlfn.XLOOKUP(tblAlocacao[[#This Row],[MODALIDADE]], tblModalidades[MODALIDADE], tblModalidades[ID_MODALIDADE],"")</f>
        <v/>
      </c>
      <c r="O131" s="32"/>
      <c r="P131" s="32"/>
      <c r="Q131" s="33" t="e">
        <f>($P131-$O131)-_xlfn.XLOOKUP(tblAlocacao[[#This Row],[TURMA]],tblTurmas[CODIGO_TURMA],tblTurmas[INTERVALO],"")</f>
        <v>#VALUE!</v>
      </c>
    </row>
    <row r="132" spans="1:17" x14ac:dyDescent="0.35">
      <c r="A132">
        <v>131</v>
      </c>
      <c r="B132" s="2"/>
      <c r="C132" t="str">
        <f>_xlfn.XLOOKUP(tblAlocacao[[#This Row],[TURMA]],tblTurmas[CODIGO_TURMA],tblTurmas[ID_TURMA],"")</f>
        <v/>
      </c>
      <c r="E132" t="str">
        <f>_xlfn.XLOOKUP(tblAlocacao[[#This Row],[DISCIPLINA]],tblDisciplinas[NOME_DISCIPLINA],tblDisciplinas[ID_DISCIPLINA],"")</f>
        <v/>
      </c>
      <c r="F132" s="40"/>
      <c r="G132" t="str">
        <f>_xlfn.XLOOKUP(tblAlocacao[[#This Row],[Nome do Instrutor]],tblInstrutores[NOME_COMPLETO],tblInstrutores[ID],"")</f>
        <v/>
      </c>
      <c r="H132" t="str">
        <f>_xlfn.XLOOKUP(tblAlocacao[[#This Row],[TURMA]],tblTurmas[CODIGO_TURMA],tblTurmas[INSTRUTOR],"")</f>
        <v/>
      </c>
      <c r="I132" t="str">
        <f>_xlfn.XLOOKUP(tblAlocacao[[#This Row],[AMBIENTE]],tblAmbientes[NOME_AMBIENTE],tblAmbientes[ID],"")</f>
        <v/>
      </c>
      <c r="K132" t="str">
        <f>_xlfn.XLOOKUP(tblAlocacao[[#This Row],['#VALOR!]],tblTurnos[TURNO],tblTurnos[ID_TURNO],"")</f>
        <v/>
      </c>
      <c r="L132" t="str">
        <f>_xlfn.XLOOKUP(tblAlocacao[[#This Row],[TURMA]],tblTurmas[CODIGO_TURMA],tblTurmas[TURNO],"")</f>
        <v/>
      </c>
      <c r="M132" t="str">
        <f>_xlfn.XLOOKUP(tblAlocacao[[#This Row],[MODALIDADE]], tblModalidades[MODALIDADE], tblModalidades[ID_MODALIDADE],"")</f>
        <v/>
      </c>
      <c r="O132" s="32"/>
      <c r="P132" s="32"/>
      <c r="Q132" s="33" t="e">
        <f>($P132-$O132)-_xlfn.XLOOKUP(tblAlocacao[[#This Row],[TURMA]],tblTurmas[CODIGO_TURMA],tblTurmas[INTERVALO],"")</f>
        <v>#VALUE!</v>
      </c>
    </row>
    <row r="133" spans="1:17" x14ac:dyDescent="0.35">
      <c r="A133">
        <v>132</v>
      </c>
      <c r="B133" s="2"/>
      <c r="C133" t="str">
        <f>_xlfn.XLOOKUP(tblAlocacao[[#This Row],[TURMA]],tblTurmas[CODIGO_TURMA],tblTurmas[ID_TURMA],"")</f>
        <v/>
      </c>
      <c r="E133" t="str">
        <f>_xlfn.XLOOKUP(tblAlocacao[[#This Row],[DISCIPLINA]],tblDisciplinas[NOME_DISCIPLINA],tblDisciplinas[ID_DISCIPLINA],"")</f>
        <v/>
      </c>
      <c r="F133" s="40"/>
      <c r="G133" t="str">
        <f>_xlfn.XLOOKUP(tblAlocacao[[#This Row],[Nome do Instrutor]],tblInstrutores[NOME_COMPLETO],tblInstrutores[ID],"")</f>
        <v/>
      </c>
      <c r="H133" t="str">
        <f>_xlfn.XLOOKUP(tblAlocacao[[#This Row],[TURMA]],tblTurmas[CODIGO_TURMA],tblTurmas[INSTRUTOR],"")</f>
        <v/>
      </c>
      <c r="I133" t="str">
        <f>_xlfn.XLOOKUP(tblAlocacao[[#This Row],[AMBIENTE]],tblAmbientes[NOME_AMBIENTE],tblAmbientes[ID],"")</f>
        <v/>
      </c>
      <c r="K133" t="str">
        <f>_xlfn.XLOOKUP(tblAlocacao[[#This Row],['#VALOR!]],tblTurnos[TURNO],tblTurnos[ID_TURNO],"")</f>
        <v/>
      </c>
      <c r="L133" t="str">
        <f>_xlfn.XLOOKUP(tblAlocacao[[#This Row],[TURMA]],tblTurmas[CODIGO_TURMA],tblTurmas[TURNO],"")</f>
        <v/>
      </c>
      <c r="M133" t="str">
        <f>_xlfn.XLOOKUP(tblAlocacao[[#This Row],[MODALIDADE]], tblModalidades[MODALIDADE], tblModalidades[ID_MODALIDADE],"")</f>
        <v/>
      </c>
      <c r="O133" s="32"/>
      <c r="P133" s="32"/>
      <c r="Q133" s="33" t="e">
        <f>($P133-$O133)-_xlfn.XLOOKUP(tblAlocacao[[#This Row],[TURMA]],tblTurmas[CODIGO_TURMA],tblTurmas[INTERVALO],"")</f>
        <v>#VALUE!</v>
      </c>
    </row>
    <row r="134" spans="1:17" x14ac:dyDescent="0.35">
      <c r="A134">
        <v>133</v>
      </c>
      <c r="B134" s="2"/>
      <c r="C134" t="str">
        <f>_xlfn.XLOOKUP(tblAlocacao[[#This Row],[TURMA]],tblTurmas[CODIGO_TURMA],tblTurmas[ID_TURMA],"")</f>
        <v/>
      </c>
      <c r="E134" t="str">
        <f>_xlfn.XLOOKUP(tblAlocacao[[#This Row],[DISCIPLINA]],tblDisciplinas[NOME_DISCIPLINA],tblDisciplinas[ID_DISCIPLINA],"")</f>
        <v/>
      </c>
      <c r="F134" s="40"/>
      <c r="G134" t="str">
        <f>_xlfn.XLOOKUP(tblAlocacao[[#This Row],[Nome do Instrutor]],tblInstrutores[NOME_COMPLETO],tblInstrutores[ID],"")</f>
        <v/>
      </c>
      <c r="H134" t="str">
        <f>_xlfn.XLOOKUP(tblAlocacao[[#This Row],[TURMA]],tblTurmas[CODIGO_TURMA],tblTurmas[INSTRUTOR],"")</f>
        <v/>
      </c>
      <c r="I134" t="str">
        <f>_xlfn.XLOOKUP(tblAlocacao[[#This Row],[AMBIENTE]],tblAmbientes[NOME_AMBIENTE],tblAmbientes[ID],"")</f>
        <v/>
      </c>
      <c r="K134" t="str">
        <f>_xlfn.XLOOKUP(tblAlocacao[[#This Row],['#VALOR!]],tblTurnos[TURNO],tblTurnos[ID_TURNO],"")</f>
        <v/>
      </c>
      <c r="L134" t="str">
        <f>_xlfn.XLOOKUP(tblAlocacao[[#This Row],[TURMA]],tblTurmas[CODIGO_TURMA],tblTurmas[TURNO],"")</f>
        <v/>
      </c>
      <c r="M134" t="str">
        <f>_xlfn.XLOOKUP(tblAlocacao[[#This Row],[MODALIDADE]], tblModalidades[MODALIDADE], tblModalidades[ID_MODALIDADE],"")</f>
        <v/>
      </c>
      <c r="O134" s="32"/>
      <c r="P134" s="32"/>
      <c r="Q134" s="33" t="e">
        <f>($P134-$O134)-_xlfn.XLOOKUP(tblAlocacao[[#This Row],[TURMA]],tblTurmas[CODIGO_TURMA],tblTurmas[INTERVALO],"")</f>
        <v>#VALUE!</v>
      </c>
    </row>
    <row r="135" spans="1:17" x14ac:dyDescent="0.35">
      <c r="A135">
        <v>134</v>
      </c>
      <c r="B135" s="2"/>
      <c r="C135" t="str">
        <f>_xlfn.XLOOKUP(tblAlocacao[[#This Row],[TURMA]],tblTurmas[CODIGO_TURMA],tblTurmas[ID_TURMA],"")</f>
        <v/>
      </c>
      <c r="E135" t="str">
        <f>_xlfn.XLOOKUP(tblAlocacao[[#This Row],[DISCIPLINA]],tblDisciplinas[NOME_DISCIPLINA],tblDisciplinas[ID_DISCIPLINA],"")</f>
        <v/>
      </c>
      <c r="F135" s="40"/>
      <c r="G135" t="str">
        <f>_xlfn.XLOOKUP(tblAlocacao[[#This Row],[Nome do Instrutor]],tblInstrutores[NOME_COMPLETO],tblInstrutores[ID],"")</f>
        <v/>
      </c>
      <c r="H135" t="str">
        <f>_xlfn.XLOOKUP(tblAlocacao[[#This Row],[TURMA]],tblTurmas[CODIGO_TURMA],tblTurmas[INSTRUTOR],"")</f>
        <v/>
      </c>
      <c r="I135" t="str">
        <f>_xlfn.XLOOKUP(tblAlocacao[[#This Row],[AMBIENTE]],tblAmbientes[NOME_AMBIENTE],tblAmbientes[ID],"")</f>
        <v/>
      </c>
      <c r="K135" t="str">
        <f>_xlfn.XLOOKUP(tblAlocacao[[#This Row],['#VALOR!]],tblTurnos[TURNO],tblTurnos[ID_TURNO],"")</f>
        <v/>
      </c>
      <c r="L135" t="str">
        <f>_xlfn.XLOOKUP(tblAlocacao[[#This Row],[TURMA]],tblTurmas[CODIGO_TURMA],tblTurmas[TURNO],"")</f>
        <v/>
      </c>
      <c r="M135" t="str">
        <f>_xlfn.XLOOKUP(tblAlocacao[[#This Row],[MODALIDADE]], tblModalidades[MODALIDADE], tblModalidades[ID_MODALIDADE],"")</f>
        <v/>
      </c>
      <c r="O135" s="32"/>
      <c r="P135" s="32"/>
      <c r="Q135" s="33" t="e">
        <f>($P135-$O135)-_xlfn.XLOOKUP(tblAlocacao[[#This Row],[TURMA]],tblTurmas[CODIGO_TURMA],tblTurmas[INTERVALO],"")</f>
        <v>#VALUE!</v>
      </c>
    </row>
    <row r="136" spans="1:17" x14ac:dyDescent="0.35">
      <c r="A136">
        <v>135</v>
      </c>
      <c r="B136" s="2"/>
      <c r="C136" t="str">
        <f>_xlfn.XLOOKUP(tblAlocacao[[#This Row],[TURMA]],tblTurmas[CODIGO_TURMA],tblTurmas[ID_TURMA],"")</f>
        <v/>
      </c>
      <c r="E136" t="str">
        <f>_xlfn.XLOOKUP(tblAlocacao[[#This Row],[DISCIPLINA]],tblDisciplinas[NOME_DISCIPLINA],tblDisciplinas[ID_DISCIPLINA],"")</f>
        <v/>
      </c>
      <c r="F136" s="40"/>
      <c r="G136" t="str">
        <f>_xlfn.XLOOKUP(tblAlocacao[[#This Row],[Nome do Instrutor]],tblInstrutores[NOME_COMPLETO],tblInstrutores[ID],"")</f>
        <v/>
      </c>
      <c r="H136" t="str">
        <f>_xlfn.XLOOKUP(tblAlocacao[[#This Row],[TURMA]],tblTurmas[CODIGO_TURMA],tblTurmas[INSTRUTOR],"")</f>
        <v/>
      </c>
      <c r="I136" t="str">
        <f>_xlfn.XLOOKUP(tblAlocacao[[#This Row],[AMBIENTE]],tblAmbientes[NOME_AMBIENTE],tblAmbientes[ID],"")</f>
        <v/>
      </c>
      <c r="K136" t="str">
        <f>_xlfn.XLOOKUP(tblAlocacao[[#This Row],['#VALOR!]],tblTurnos[TURNO],tblTurnos[ID_TURNO],"")</f>
        <v/>
      </c>
      <c r="L136" t="str">
        <f>_xlfn.XLOOKUP(tblAlocacao[[#This Row],[TURMA]],tblTurmas[CODIGO_TURMA],tblTurmas[TURNO],"")</f>
        <v/>
      </c>
      <c r="M136" t="str">
        <f>_xlfn.XLOOKUP(tblAlocacao[[#This Row],[MODALIDADE]], tblModalidades[MODALIDADE], tblModalidades[ID_MODALIDADE],"")</f>
        <v/>
      </c>
      <c r="O136" s="32"/>
      <c r="P136" s="32"/>
      <c r="Q136" s="33" t="e">
        <f>($P136-$O136)-_xlfn.XLOOKUP(tblAlocacao[[#This Row],[TURMA]],tblTurmas[CODIGO_TURMA],tblTurmas[INTERVALO],"")</f>
        <v>#VALUE!</v>
      </c>
    </row>
    <row r="137" spans="1:17" x14ac:dyDescent="0.35">
      <c r="A137">
        <v>136</v>
      </c>
      <c r="B137" s="2"/>
      <c r="C137" t="str">
        <f>_xlfn.XLOOKUP(tblAlocacao[[#This Row],[TURMA]],tblTurmas[CODIGO_TURMA],tblTurmas[ID_TURMA],"")</f>
        <v/>
      </c>
      <c r="E137" t="str">
        <f>_xlfn.XLOOKUP(tblAlocacao[[#This Row],[DISCIPLINA]],tblDisciplinas[NOME_DISCIPLINA],tblDisciplinas[ID_DISCIPLINA],"")</f>
        <v/>
      </c>
      <c r="F137" s="40"/>
      <c r="G137" t="str">
        <f>_xlfn.XLOOKUP(tblAlocacao[[#This Row],[Nome do Instrutor]],tblInstrutores[NOME_COMPLETO],tblInstrutores[ID],"")</f>
        <v/>
      </c>
      <c r="H137" t="str">
        <f>_xlfn.XLOOKUP(tblAlocacao[[#This Row],[TURMA]],tblTurmas[CODIGO_TURMA],tblTurmas[INSTRUTOR],"")</f>
        <v/>
      </c>
      <c r="I137" t="str">
        <f>_xlfn.XLOOKUP(tblAlocacao[[#This Row],[AMBIENTE]],tblAmbientes[NOME_AMBIENTE],tblAmbientes[ID],"")</f>
        <v/>
      </c>
      <c r="K137" t="str">
        <f>_xlfn.XLOOKUP(tblAlocacao[[#This Row],['#VALOR!]],tblTurnos[TURNO],tblTurnos[ID_TURNO],"")</f>
        <v/>
      </c>
      <c r="L137" t="str">
        <f>_xlfn.XLOOKUP(tblAlocacao[[#This Row],[TURMA]],tblTurmas[CODIGO_TURMA],tblTurmas[TURNO],"")</f>
        <v/>
      </c>
      <c r="M137" t="str">
        <f>_xlfn.XLOOKUP(tblAlocacao[[#This Row],[MODALIDADE]], tblModalidades[MODALIDADE], tblModalidades[ID_MODALIDADE],"")</f>
        <v/>
      </c>
      <c r="O137" s="32"/>
      <c r="P137" s="32"/>
      <c r="Q137" s="33" t="e">
        <f>($P137-$O137)-_xlfn.XLOOKUP(tblAlocacao[[#This Row],[TURMA]],tblTurmas[CODIGO_TURMA],tblTurmas[INTERVALO],"")</f>
        <v>#VALUE!</v>
      </c>
    </row>
    <row r="138" spans="1:17" x14ac:dyDescent="0.35">
      <c r="A138">
        <v>137</v>
      </c>
      <c r="B138" s="2"/>
      <c r="C138" t="str">
        <f>_xlfn.XLOOKUP(tblAlocacao[[#This Row],[TURMA]],tblTurmas[CODIGO_TURMA],tblTurmas[ID_TURMA],"")</f>
        <v/>
      </c>
      <c r="E138" t="str">
        <f>_xlfn.XLOOKUP(tblAlocacao[[#This Row],[DISCIPLINA]],tblDisciplinas[NOME_DISCIPLINA],tblDisciplinas[ID_DISCIPLINA],"")</f>
        <v/>
      </c>
      <c r="F138" s="40"/>
      <c r="G138" t="str">
        <f>_xlfn.XLOOKUP(tblAlocacao[[#This Row],[Nome do Instrutor]],tblInstrutores[NOME_COMPLETO],tblInstrutores[ID],"")</f>
        <v/>
      </c>
      <c r="H138" t="str">
        <f>_xlfn.XLOOKUP(tblAlocacao[[#This Row],[TURMA]],tblTurmas[CODIGO_TURMA],tblTurmas[INSTRUTOR],"")</f>
        <v/>
      </c>
      <c r="I138" t="str">
        <f>_xlfn.XLOOKUP(tblAlocacao[[#This Row],[AMBIENTE]],tblAmbientes[NOME_AMBIENTE],tblAmbientes[ID],"")</f>
        <v/>
      </c>
      <c r="K138" t="str">
        <f>_xlfn.XLOOKUP(tblAlocacao[[#This Row],['#VALOR!]],tblTurnos[TURNO],tblTurnos[ID_TURNO],"")</f>
        <v/>
      </c>
      <c r="L138" t="str">
        <f>_xlfn.XLOOKUP(tblAlocacao[[#This Row],[TURMA]],tblTurmas[CODIGO_TURMA],tblTurmas[TURNO],"")</f>
        <v/>
      </c>
      <c r="M138" t="str">
        <f>_xlfn.XLOOKUP(tblAlocacao[[#This Row],[MODALIDADE]], tblModalidades[MODALIDADE], tblModalidades[ID_MODALIDADE],"")</f>
        <v/>
      </c>
      <c r="O138" s="32"/>
      <c r="P138" s="32"/>
      <c r="Q138" s="33" t="e">
        <f>($P138-$O138)-_xlfn.XLOOKUP(tblAlocacao[[#This Row],[TURMA]],tblTurmas[CODIGO_TURMA],tblTurmas[INTERVALO],"")</f>
        <v>#VALUE!</v>
      </c>
    </row>
    <row r="139" spans="1:17" x14ac:dyDescent="0.35">
      <c r="A139">
        <v>138</v>
      </c>
      <c r="B139" s="2"/>
      <c r="C139" t="str">
        <f>_xlfn.XLOOKUP(tblAlocacao[[#This Row],[TURMA]],tblTurmas[CODIGO_TURMA],tblTurmas[ID_TURMA],"")</f>
        <v/>
      </c>
      <c r="E139" t="str">
        <f>_xlfn.XLOOKUP(tblAlocacao[[#This Row],[DISCIPLINA]],tblDisciplinas[NOME_DISCIPLINA],tblDisciplinas[ID_DISCIPLINA],"")</f>
        <v/>
      </c>
      <c r="F139" s="40"/>
      <c r="G139" t="str">
        <f>_xlfn.XLOOKUP(tblAlocacao[[#This Row],[Nome do Instrutor]],tblInstrutores[NOME_COMPLETO],tblInstrutores[ID],"")</f>
        <v/>
      </c>
      <c r="H139" t="str">
        <f>_xlfn.XLOOKUP(tblAlocacao[[#This Row],[TURMA]],tblTurmas[CODIGO_TURMA],tblTurmas[INSTRUTOR],"")</f>
        <v/>
      </c>
      <c r="I139" t="str">
        <f>_xlfn.XLOOKUP(tblAlocacao[[#This Row],[AMBIENTE]],tblAmbientes[NOME_AMBIENTE],tblAmbientes[ID],"")</f>
        <v/>
      </c>
      <c r="K139" t="str">
        <f>_xlfn.XLOOKUP(tblAlocacao[[#This Row],['#VALOR!]],tblTurnos[TURNO],tblTurnos[ID_TURNO],"")</f>
        <v/>
      </c>
      <c r="L139" t="str">
        <f>_xlfn.XLOOKUP(tblAlocacao[[#This Row],[TURMA]],tblTurmas[CODIGO_TURMA],tblTurmas[TURNO],"")</f>
        <v/>
      </c>
      <c r="M139" t="str">
        <f>_xlfn.XLOOKUP(tblAlocacao[[#This Row],[MODALIDADE]], tblModalidades[MODALIDADE], tblModalidades[ID_MODALIDADE],"")</f>
        <v/>
      </c>
      <c r="O139" s="32"/>
      <c r="P139" s="32"/>
      <c r="Q139" s="33" t="e">
        <f>($P139-$O139)-_xlfn.XLOOKUP(tblAlocacao[[#This Row],[TURMA]],tblTurmas[CODIGO_TURMA],tblTurmas[INTERVALO],"")</f>
        <v>#VALUE!</v>
      </c>
    </row>
    <row r="140" spans="1:17" x14ac:dyDescent="0.35">
      <c r="A140">
        <v>139</v>
      </c>
      <c r="B140" s="2"/>
      <c r="C140" t="str">
        <f>_xlfn.XLOOKUP(tblAlocacao[[#This Row],[TURMA]],tblTurmas[CODIGO_TURMA],tblTurmas[ID_TURMA],"")</f>
        <v/>
      </c>
      <c r="E140" t="str">
        <f>_xlfn.XLOOKUP(tblAlocacao[[#This Row],[DISCIPLINA]],tblDisciplinas[NOME_DISCIPLINA],tblDisciplinas[ID_DISCIPLINA],"")</f>
        <v/>
      </c>
      <c r="F140" s="40"/>
      <c r="G140" t="str">
        <f>_xlfn.XLOOKUP(tblAlocacao[[#This Row],[Nome do Instrutor]],tblInstrutores[NOME_COMPLETO],tblInstrutores[ID],"")</f>
        <v/>
      </c>
      <c r="H140" t="str">
        <f>_xlfn.XLOOKUP(tblAlocacao[[#This Row],[TURMA]],tblTurmas[CODIGO_TURMA],tblTurmas[INSTRUTOR],"")</f>
        <v/>
      </c>
      <c r="I140" t="str">
        <f>_xlfn.XLOOKUP(tblAlocacao[[#This Row],[AMBIENTE]],tblAmbientes[NOME_AMBIENTE],tblAmbientes[ID],"")</f>
        <v/>
      </c>
      <c r="K140" t="str">
        <f>_xlfn.XLOOKUP(tblAlocacao[[#This Row],['#VALOR!]],tblTurnos[TURNO],tblTurnos[ID_TURNO],"")</f>
        <v/>
      </c>
      <c r="L140" t="str">
        <f>_xlfn.XLOOKUP(tblAlocacao[[#This Row],[TURMA]],tblTurmas[CODIGO_TURMA],tblTurmas[TURNO],"")</f>
        <v/>
      </c>
      <c r="M140" t="str">
        <f>_xlfn.XLOOKUP(tblAlocacao[[#This Row],[MODALIDADE]], tblModalidades[MODALIDADE], tblModalidades[ID_MODALIDADE],"")</f>
        <v/>
      </c>
      <c r="O140" s="32"/>
      <c r="P140" s="32"/>
      <c r="Q140" s="33" t="e">
        <f>($P140-$O140)-_xlfn.XLOOKUP(tblAlocacao[[#This Row],[TURMA]],tblTurmas[CODIGO_TURMA],tblTurmas[INTERVALO],"")</f>
        <v>#VALUE!</v>
      </c>
    </row>
    <row r="141" spans="1:17" x14ac:dyDescent="0.35">
      <c r="A141">
        <v>140</v>
      </c>
      <c r="B141" s="2"/>
      <c r="C141" t="str">
        <f>_xlfn.XLOOKUP(tblAlocacao[[#This Row],[TURMA]],tblTurmas[CODIGO_TURMA],tblTurmas[ID_TURMA],"")</f>
        <v/>
      </c>
      <c r="E141" t="str">
        <f>_xlfn.XLOOKUP(tblAlocacao[[#This Row],[DISCIPLINA]],tblDisciplinas[NOME_DISCIPLINA],tblDisciplinas[ID_DISCIPLINA],"")</f>
        <v/>
      </c>
      <c r="F141" s="40"/>
      <c r="G141" t="str">
        <f>_xlfn.XLOOKUP(tblAlocacao[[#This Row],[Nome do Instrutor]],tblInstrutores[NOME_COMPLETO],tblInstrutores[ID],"")</f>
        <v/>
      </c>
      <c r="H141" t="str">
        <f>_xlfn.XLOOKUP(tblAlocacao[[#This Row],[TURMA]],tblTurmas[CODIGO_TURMA],tblTurmas[INSTRUTOR],"")</f>
        <v/>
      </c>
      <c r="I141" t="str">
        <f>_xlfn.XLOOKUP(tblAlocacao[[#This Row],[AMBIENTE]],tblAmbientes[NOME_AMBIENTE],tblAmbientes[ID],"")</f>
        <v/>
      </c>
      <c r="K141" t="str">
        <f>_xlfn.XLOOKUP(tblAlocacao[[#This Row],['#VALOR!]],tblTurnos[TURNO],tblTurnos[ID_TURNO],"")</f>
        <v/>
      </c>
      <c r="L141" t="str">
        <f>_xlfn.XLOOKUP(tblAlocacao[[#This Row],[TURMA]],tblTurmas[CODIGO_TURMA],tblTurmas[TURNO],"")</f>
        <v/>
      </c>
      <c r="M141" t="str">
        <f>_xlfn.XLOOKUP(tblAlocacao[[#This Row],[MODALIDADE]], tblModalidades[MODALIDADE], tblModalidades[ID_MODALIDADE],"")</f>
        <v/>
      </c>
      <c r="O141" s="32"/>
      <c r="P141" s="32"/>
      <c r="Q141" s="33" t="e">
        <f>($P141-$O141)-_xlfn.XLOOKUP(tblAlocacao[[#This Row],[TURMA]],tblTurmas[CODIGO_TURMA],tblTurmas[INTERVALO],"")</f>
        <v>#VALUE!</v>
      </c>
    </row>
    <row r="142" spans="1:17" x14ac:dyDescent="0.35">
      <c r="A142">
        <v>141</v>
      </c>
      <c r="B142" s="2"/>
      <c r="C142" t="str">
        <f>_xlfn.XLOOKUP(tblAlocacao[[#This Row],[TURMA]],tblTurmas[CODIGO_TURMA],tblTurmas[ID_TURMA],"")</f>
        <v/>
      </c>
      <c r="E142" t="str">
        <f>_xlfn.XLOOKUP(tblAlocacao[[#This Row],[DISCIPLINA]],tblDisciplinas[NOME_DISCIPLINA],tblDisciplinas[ID_DISCIPLINA],"")</f>
        <v/>
      </c>
      <c r="F142" s="40"/>
      <c r="G142" t="str">
        <f>_xlfn.XLOOKUP(tblAlocacao[[#This Row],[Nome do Instrutor]],tblInstrutores[NOME_COMPLETO],tblInstrutores[ID],"")</f>
        <v/>
      </c>
      <c r="H142" t="str">
        <f>_xlfn.XLOOKUP(tblAlocacao[[#This Row],[TURMA]],tblTurmas[CODIGO_TURMA],tblTurmas[INSTRUTOR],"")</f>
        <v/>
      </c>
      <c r="I142" t="str">
        <f>_xlfn.XLOOKUP(tblAlocacao[[#This Row],[AMBIENTE]],tblAmbientes[NOME_AMBIENTE],tblAmbientes[ID],"")</f>
        <v/>
      </c>
      <c r="K142" t="str">
        <f>_xlfn.XLOOKUP(tblAlocacao[[#This Row],['#VALOR!]],tblTurnos[TURNO],tblTurnos[ID_TURNO],"")</f>
        <v/>
      </c>
      <c r="L142" t="str">
        <f>_xlfn.XLOOKUP(tblAlocacao[[#This Row],[TURMA]],tblTurmas[CODIGO_TURMA],tblTurmas[TURNO],"")</f>
        <v/>
      </c>
      <c r="M142" t="str">
        <f>_xlfn.XLOOKUP(tblAlocacao[[#This Row],[MODALIDADE]], tblModalidades[MODALIDADE], tblModalidades[ID_MODALIDADE],"")</f>
        <v/>
      </c>
      <c r="O142" s="32"/>
      <c r="P142" s="32"/>
      <c r="Q142" s="33" t="e">
        <f>($P142-$O142)-_xlfn.XLOOKUP(tblAlocacao[[#This Row],[TURMA]],tblTurmas[CODIGO_TURMA],tblTurmas[INTERVALO],"")</f>
        <v>#VALUE!</v>
      </c>
    </row>
    <row r="143" spans="1:17" x14ac:dyDescent="0.35">
      <c r="A143">
        <v>142</v>
      </c>
      <c r="B143" s="2"/>
      <c r="C143" t="str">
        <f>_xlfn.XLOOKUP(tblAlocacao[[#This Row],[TURMA]],tblTurmas[CODIGO_TURMA],tblTurmas[ID_TURMA],"")</f>
        <v/>
      </c>
      <c r="E143" t="str">
        <f>_xlfn.XLOOKUP(tblAlocacao[[#This Row],[DISCIPLINA]],tblDisciplinas[NOME_DISCIPLINA],tblDisciplinas[ID_DISCIPLINA],"")</f>
        <v/>
      </c>
      <c r="F143" s="40"/>
      <c r="G143" t="str">
        <f>_xlfn.XLOOKUP(tblAlocacao[[#This Row],[Nome do Instrutor]],tblInstrutores[NOME_COMPLETO],tblInstrutores[ID],"")</f>
        <v/>
      </c>
      <c r="H143" t="str">
        <f>_xlfn.XLOOKUP(tblAlocacao[[#This Row],[TURMA]],tblTurmas[CODIGO_TURMA],tblTurmas[INSTRUTOR],"")</f>
        <v/>
      </c>
      <c r="I143" t="str">
        <f>_xlfn.XLOOKUP(tblAlocacao[[#This Row],[AMBIENTE]],tblAmbientes[NOME_AMBIENTE],tblAmbientes[ID],"")</f>
        <v/>
      </c>
      <c r="K143" t="str">
        <f>_xlfn.XLOOKUP(tblAlocacao[[#This Row],['#VALOR!]],tblTurnos[TURNO],tblTurnos[ID_TURNO],"")</f>
        <v/>
      </c>
      <c r="L143" t="str">
        <f>_xlfn.XLOOKUP(tblAlocacao[[#This Row],[TURMA]],tblTurmas[CODIGO_TURMA],tblTurmas[TURNO],"")</f>
        <v/>
      </c>
      <c r="M143" t="str">
        <f>_xlfn.XLOOKUP(tblAlocacao[[#This Row],[MODALIDADE]], tblModalidades[MODALIDADE], tblModalidades[ID_MODALIDADE],"")</f>
        <v/>
      </c>
      <c r="O143" s="32"/>
      <c r="P143" s="32"/>
      <c r="Q143" s="33" t="e">
        <f>($P143-$O143)-_xlfn.XLOOKUP(tblAlocacao[[#This Row],[TURMA]],tblTurmas[CODIGO_TURMA],tblTurmas[INTERVALO],"")</f>
        <v>#VALUE!</v>
      </c>
    </row>
    <row r="144" spans="1:17" x14ac:dyDescent="0.35">
      <c r="A144">
        <v>143</v>
      </c>
      <c r="B144" s="2"/>
      <c r="C144" t="str">
        <f>_xlfn.XLOOKUP(tblAlocacao[[#This Row],[TURMA]],tblTurmas[CODIGO_TURMA],tblTurmas[ID_TURMA],"")</f>
        <v/>
      </c>
      <c r="E144" t="str">
        <f>_xlfn.XLOOKUP(tblAlocacao[[#This Row],[DISCIPLINA]],tblDisciplinas[NOME_DISCIPLINA],tblDisciplinas[ID_DISCIPLINA],"")</f>
        <v/>
      </c>
      <c r="F144" s="40"/>
      <c r="G144" t="str">
        <f>_xlfn.XLOOKUP(tblAlocacao[[#This Row],[Nome do Instrutor]],tblInstrutores[NOME_COMPLETO],tblInstrutores[ID],"")</f>
        <v/>
      </c>
      <c r="H144" t="str">
        <f>_xlfn.XLOOKUP(tblAlocacao[[#This Row],[TURMA]],tblTurmas[CODIGO_TURMA],tblTurmas[INSTRUTOR],"")</f>
        <v/>
      </c>
      <c r="I144" t="str">
        <f>_xlfn.XLOOKUP(tblAlocacao[[#This Row],[AMBIENTE]],tblAmbientes[NOME_AMBIENTE],tblAmbientes[ID],"")</f>
        <v/>
      </c>
      <c r="K144" t="str">
        <f>_xlfn.XLOOKUP(tblAlocacao[[#This Row],['#VALOR!]],tblTurnos[TURNO],tblTurnos[ID_TURNO],"")</f>
        <v/>
      </c>
      <c r="L144" t="str">
        <f>_xlfn.XLOOKUP(tblAlocacao[[#This Row],[TURMA]],tblTurmas[CODIGO_TURMA],tblTurmas[TURNO],"")</f>
        <v/>
      </c>
      <c r="M144" t="str">
        <f>_xlfn.XLOOKUP(tblAlocacao[[#This Row],[MODALIDADE]], tblModalidades[MODALIDADE], tblModalidades[ID_MODALIDADE],"")</f>
        <v/>
      </c>
      <c r="O144" s="32"/>
      <c r="P144" s="32"/>
      <c r="Q144" s="33" t="e">
        <f>($P144-$O144)-_xlfn.XLOOKUP(tblAlocacao[[#This Row],[TURMA]],tblTurmas[CODIGO_TURMA],tblTurmas[INTERVALO],"")</f>
        <v>#VALUE!</v>
      </c>
    </row>
    <row r="145" spans="1:17" x14ac:dyDescent="0.35">
      <c r="A145">
        <v>144</v>
      </c>
      <c r="B145" s="2"/>
      <c r="C145" t="str">
        <f>_xlfn.XLOOKUP(tblAlocacao[[#This Row],[TURMA]],tblTurmas[CODIGO_TURMA],tblTurmas[ID_TURMA],"")</f>
        <v/>
      </c>
      <c r="E145" t="str">
        <f>_xlfn.XLOOKUP(tblAlocacao[[#This Row],[DISCIPLINA]],tblDisciplinas[NOME_DISCIPLINA],tblDisciplinas[ID_DISCIPLINA],"")</f>
        <v/>
      </c>
      <c r="F145" s="40"/>
      <c r="G145" t="str">
        <f>_xlfn.XLOOKUP(tblAlocacao[[#This Row],[Nome do Instrutor]],tblInstrutores[NOME_COMPLETO],tblInstrutores[ID],"")</f>
        <v/>
      </c>
      <c r="H145" t="str">
        <f>_xlfn.XLOOKUP(tblAlocacao[[#This Row],[TURMA]],tblTurmas[CODIGO_TURMA],tblTurmas[INSTRUTOR],"")</f>
        <v/>
      </c>
      <c r="I145" t="str">
        <f>_xlfn.XLOOKUP(tblAlocacao[[#This Row],[AMBIENTE]],tblAmbientes[NOME_AMBIENTE],tblAmbientes[ID],"")</f>
        <v/>
      </c>
      <c r="K145" t="str">
        <f>_xlfn.XLOOKUP(tblAlocacao[[#This Row],['#VALOR!]],tblTurnos[TURNO],tblTurnos[ID_TURNO],"")</f>
        <v/>
      </c>
      <c r="L145" t="str">
        <f>_xlfn.XLOOKUP(tblAlocacao[[#This Row],[TURMA]],tblTurmas[CODIGO_TURMA],tblTurmas[TURNO],"")</f>
        <v/>
      </c>
      <c r="M145" t="str">
        <f>_xlfn.XLOOKUP(tblAlocacao[[#This Row],[MODALIDADE]], tblModalidades[MODALIDADE], tblModalidades[ID_MODALIDADE],"")</f>
        <v/>
      </c>
      <c r="O145" s="32"/>
      <c r="P145" s="32"/>
      <c r="Q145" s="33" t="e">
        <f>($P145-$O145)-_xlfn.XLOOKUP(tblAlocacao[[#This Row],[TURMA]],tblTurmas[CODIGO_TURMA],tblTurmas[INTERVALO],"")</f>
        <v>#VALUE!</v>
      </c>
    </row>
    <row r="146" spans="1:17" x14ac:dyDescent="0.35">
      <c r="A146">
        <v>145</v>
      </c>
      <c r="B146" s="2"/>
      <c r="C146" t="str">
        <f>_xlfn.XLOOKUP(tblAlocacao[[#This Row],[TURMA]],tblTurmas[CODIGO_TURMA],tblTurmas[ID_TURMA],"")</f>
        <v/>
      </c>
      <c r="E146" t="str">
        <f>_xlfn.XLOOKUP(tblAlocacao[[#This Row],[DISCIPLINA]],tblDisciplinas[NOME_DISCIPLINA],tblDisciplinas[ID_DISCIPLINA],"")</f>
        <v/>
      </c>
      <c r="F146" s="40"/>
      <c r="G146" t="str">
        <f>_xlfn.XLOOKUP(tblAlocacao[[#This Row],[Nome do Instrutor]],tblInstrutores[NOME_COMPLETO],tblInstrutores[ID],"")</f>
        <v/>
      </c>
      <c r="H146" t="str">
        <f>_xlfn.XLOOKUP(tblAlocacao[[#This Row],[TURMA]],tblTurmas[CODIGO_TURMA],tblTurmas[INSTRUTOR],"")</f>
        <v/>
      </c>
      <c r="I146" t="str">
        <f>_xlfn.XLOOKUP(tblAlocacao[[#This Row],[AMBIENTE]],tblAmbientes[NOME_AMBIENTE],tblAmbientes[ID],"")</f>
        <v/>
      </c>
      <c r="K146" t="str">
        <f>_xlfn.XLOOKUP(tblAlocacao[[#This Row],['#VALOR!]],tblTurnos[TURNO],tblTurnos[ID_TURNO],"")</f>
        <v/>
      </c>
      <c r="L146" t="str">
        <f>_xlfn.XLOOKUP(tblAlocacao[[#This Row],[TURMA]],tblTurmas[CODIGO_TURMA],tblTurmas[TURNO],"")</f>
        <v/>
      </c>
      <c r="M146" t="str">
        <f>_xlfn.XLOOKUP(tblAlocacao[[#This Row],[MODALIDADE]], tblModalidades[MODALIDADE], tblModalidades[ID_MODALIDADE],"")</f>
        <v/>
      </c>
      <c r="O146" s="32"/>
      <c r="P146" s="32"/>
      <c r="Q146" s="33" t="e">
        <f>($P146-$O146)-_xlfn.XLOOKUP(tblAlocacao[[#This Row],[TURMA]],tblTurmas[CODIGO_TURMA],tblTurmas[INTERVALO],"")</f>
        <v>#VALUE!</v>
      </c>
    </row>
    <row r="147" spans="1:17" x14ac:dyDescent="0.35">
      <c r="A147">
        <v>146</v>
      </c>
      <c r="B147" s="2"/>
      <c r="C147" t="str">
        <f>_xlfn.XLOOKUP(tblAlocacao[[#This Row],[TURMA]],tblTurmas[CODIGO_TURMA],tblTurmas[ID_TURMA],"")</f>
        <v/>
      </c>
      <c r="E147" t="str">
        <f>_xlfn.XLOOKUP(tblAlocacao[[#This Row],[DISCIPLINA]],tblDisciplinas[NOME_DISCIPLINA],tblDisciplinas[ID_DISCIPLINA],"")</f>
        <v/>
      </c>
      <c r="F147" s="40"/>
      <c r="G147" t="str">
        <f>_xlfn.XLOOKUP(tblAlocacao[[#This Row],[Nome do Instrutor]],tblInstrutores[NOME_COMPLETO],tblInstrutores[ID],"")</f>
        <v/>
      </c>
      <c r="H147" t="str">
        <f>_xlfn.XLOOKUP(tblAlocacao[[#This Row],[TURMA]],tblTurmas[CODIGO_TURMA],tblTurmas[INSTRUTOR],"")</f>
        <v/>
      </c>
      <c r="I147" t="str">
        <f>_xlfn.XLOOKUP(tblAlocacao[[#This Row],[AMBIENTE]],tblAmbientes[NOME_AMBIENTE],tblAmbientes[ID],"")</f>
        <v/>
      </c>
      <c r="K147" t="str">
        <f>_xlfn.XLOOKUP(tblAlocacao[[#This Row],['#VALOR!]],tblTurnos[TURNO],tblTurnos[ID_TURNO],"")</f>
        <v/>
      </c>
      <c r="L147" t="str">
        <f>_xlfn.XLOOKUP(tblAlocacao[[#This Row],[TURMA]],tblTurmas[CODIGO_TURMA],tblTurmas[TURNO],"")</f>
        <v/>
      </c>
      <c r="M147" t="str">
        <f>_xlfn.XLOOKUP(tblAlocacao[[#This Row],[MODALIDADE]], tblModalidades[MODALIDADE], tblModalidades[ID_MODALIDADE],"")</f>
        <v/>
      </c>
      <c r="O147" s="32"/>
      <c r="P147" s="32"/>
      <c r="Q147" s="33" t="e">
        <f>($P147-$O147)-_xlfn.XLOOKUP(tblAlocacao[[#This Row],[TURMA]],tblTurmas[CODIGO_TURMA],tblTurmas[INTERVALO],"")</f>
        <v>#VALUE!</v>
      </c>
    </row>
    <row r="148" spans="1:17" x14ac:dyDescent="0.35">
      <c r="A148">
        <v>147</v>
      </c>
      <c r="B148" s="2"/>
      <c r="C148" t="str">
        <f>_xlfn.XLOOKUP(tblAlocacao[[#This Row],[TURMA]],tblTurmas[CODIGO_TURMA],tblTurmas[ID_TURMA],"")</f>
        <v/>
      </c>
      <c r="E148" t="str">
        <f>_xlfn.XLOOKUP(tblAlocacao[[#This Row],[DISCIPLINA]],tblDisciplinas[NOME_DISCIPLINA],tblDisciplinas[ID_DISCIPLINA],"")</f>
        <v/>
      </c>
      <c r="F148" s="40"/>
      <c r="G148" t="str">
        <f>_xlfn.XLOOKUP(tblAlocacao[[#This Row],[Nome do Instrutor]],tblInstrutores[NOME_COMPLETO],tblInstrutores[ID],"")</f>
        <v/>
      </c>
      <c r="H148" t="str">
        <f>_xlfn.XLOOKUP(tblAlocacao[[#This Row],[TURMA]],tblTurmas[CODIGO_TURMA],tblTurmas[INSTRUTOR],"")</f>
        <v/>
      </c>
      <c r="I148" t="str">
        <f>_xlfn.XLOOKUP(tblAlocacao[[#This Row],[AMBIENTE]],tblAmbientes[NOME_AMBIENTE],tblAmbientes[ID],"")</f>
        <v/>
      </c>
      <c r="K148" t="str">
        <f>_xlfn.XLOOKUP(tblAlocacao[[#This Row],['#VALOR!]],tblTurnos[TURNO],tblTurnos[ID_TURNO],"")</f>
        <v/>
      </c>
      <c r="L148" t="str">
        <f>_xlfn.XLOOKUP(tblAlocacao[[#This Row],[TURMA]],tblTurmas[CODIGO_TURMA],tblTurmas[TURNO],"")</f>
        <v/>
      </c>
      <c r="M148" t="str">
        <f>_xlfn.XLOOKUP(tblAlocacao[[#This Row],[MODALIDADE]], tblModalidades[MODALIDADE], tblModalidades[ID_MODALIDADE],"")</f>
        <v/>
      </c>
      <c r="O148" s="32"/>
      <c r="P148" s="32"/>
      <c r="Q148" s="33" t="e">
        <f>($P148-$O148)-_xlfn.XLOOKUP(tblAlocacao[[#This Row],[TURMA]],tblTurmas[CODIGO_TURMA],tblTurmas[INTERVALO],"")</f>
        <v>#VALUE!</v>
      </c>
    </row>
    <row r="149" spans="1:17" x14ac:dyDescent="0.35">
      <c r="A149">
        <v>148</v>
      </c>
      <c r="B149" s="2"/>
      <c r="C149" t="str">
        <f>_xlfn.XLOOKUP(tblAlocacao[[#This Row],[TURMA]],tblTurmas[CODIGO_TURMA],tblTurmas[ID_TURMA],"")</f>
        <v/>
      </c>
      <c r="E149" t="str">
        <f>_xlfn.XLOOKUP(tblAlocacao[[#This Row],[DISCIPLINA]],tblDisciplinas[NOME_DISCIPLINA],tblDisciplinas[ID_DISCIPLINA],"")</f>
        <v/>
      </c>
      <c r="F149" s="40"/>
      <c r="G149" t="str">
        <f>_xlfn.XLOOKUP(tblAlocacao[[#This Row],[Nome do Instrutor]],tblInstrutores[NOME_COMPLETO],tblInstrutores[ID],"")</f>
        <v/>
      </c>
      <c r="H149" t="str">
        <f>_xlfn.XLOOKUP(tblAlocacao[[#This Row],[TURMA]],tblTurmas[CODIGO_TURMA],tblTurmas[INSTRUTOR],"")</f>
        <v/>
      </c>
      <c r="I149" t="str">
        <f>_xlfn.XLOOKUP(tblAlocacao[[#This Row],[AMBIENTE]],tblAmbientes[NOME_AMBIENTE],tblAmbientes[ID],"")</f>
        <v/>
      </c>
      <c r="K149" t="str">
        <f>_xlfn.XLOOKUP(tblAlocacao[[#This Row],['#VALOR!]],tblTurnos[TURNO],tblTurnos[ID_TURNO],"")</f>
        <v/>
      </c>
      <c r="L149" t="str">
        <f>_xlfn.XLOOKUP(tblAlocacao[[#This Row],[TURMA]],tblTurmas[CODIGO_TURMA],tblTurmas[TURNO],"")</f>
        <v/>
      </c>
      <c r="M149" t="str">
        <f>_xlfn.XLOOKUP(tblAlocacao[[#This Row],[MODALIDADE]], tblModalidades[MODALIDADE], tblModalidades[ID_MODALIDADE],"")</f>
        <v/>
      </c>
      <c r="O149" s="32"/>
      <c r="P149" s="32"/>
      <c r="Q149" s="33" t="e">
        <f>($P149-$O149)-_xlfn.XLOOKUP(tblAlocacao[[#This Row],[TURMA]],tblTurmas[CODIGO_TURMA],tblTurmas[INTERVALO],"")</f>
        <v>#VALUE!</v>
      </c>
    </row>
    <row r="150" spans="1:17" x14ac:dyDescent="0.35">
      <c r="A150">
        <v>149</v>
      </c>
      <c r="B150" s="2"/>
      <c r="C150" t="str">
        <f>_xlfn.XLOOKUP(tblAlocacao[[#This Row],[TURMA]],tblTurmas[CODIGO_TURMA],tblTurmas[ID_TURMA],"")</f>
        <v/>
      </c>
      <c r="E150" t="str">
        <f>_xlfn.XLOOKUP(tblAlocacao[[#This Row],[DISCIPLINA]],tblDisciplinas[NOME_DISCIPLINA],tblDisciplinas[ID_DISCIPLINA],"")</f>
        <v/>
      </c>
      <c r="F150" s="40"/>
      <c r="G150" t="str">
        <f>_xlfn.XLOOKUP(tblAlocacao[[#This Row],[Nome do Instrutor]],tblInstrutores[NOME_COMPLETO],tblInstrutores[ID],"")</f>
        <v/>
      </c>
      <c r="H150" t="str">
        <f>_xlfn.XLOOKUP(tblAlocacao[[#This Row],[TURMA]],tblTurmas[CODIGO_TURMA],tblTurmas[INSTRUTOR],"")</f>
        <v/>
      </c>
      <c r="I150" t="str">
        <f>_xlfn.XLOOKUP(tblAlocacao[[#This Row],[AMBIENTE]],tblAmbientes[NOME_AMBIENTE],tblAmbientes[ID],"")</f>
        <v/>
      </c>
      <c r="K150" t="str">
        <f>_xlfn.XLOOKUP(tblAlocacao[[#This Row],['#VALOR!]],tblTurnos[TURNO],tblTurnos[ID_TURNO],"")</f>
        <v/>
      </c>
      <c r="L150" t="str">
        <f>_xlfn.XLOOKUP(tblAlocacao[[#This Row],[TURMA]],tblTurmas[CODIGO_TURMA],tblTurmas[TURNO],"")</f>
        <v/>
      </c>
      <c r="M150" t="str">
        <f>_xlfn.XLOOKUP(tblAlocacao[[#This Row],[MODALIDADE]], tblModalidades[MODALIDADE], tblModalidades[ID_MODALIDADE],"")</f>
        <v/>
      </c>
      <c r="O150" s="32"/>
      <c r="P150" s="32"/>
      <c r="Q150" s="33" t="e">
        <f>($P150-$O150)-_xlfn.XLOOKUP(tblAlocacao[[#This Row],[TURMA]],tblTurmas[CODIGO_TURMA],tblTurmas[INTERVALO],"")</f>
        <v>#VALUE!</v>
      </c>
    </row>
    <row r="151" spans="1:17" x14ac:dyDescent="0.35">
      <c r="A151">
        <v>150</v>
      </c>
      <c r="B151" s="2"/>
      <c r="C151" t="str">
        <f>_xlfn.XLOOKUP(tblAlocacao[[#This Row],[TURMA]],tblTurmas[CODIGO_TURMA],tblTurmas[ID_TURMA],"")</f>
        <v/>
      </c>
      <c r="E151" t="str">
        <f>_xlfn.XLOOKUP(tblAlocacao[[#This Row],[DISCIPLINA]],tblDisciplinas[NOME_DISCIPLINA],tblDisciplinas[ID_DISCIPLINA],"")</f>
        <v/>
      </c>
      <c r="F151" s="40"/>
      <c r="G151" t="str">
        <f>_xlfn.XLOOKUP(tblAlocacao[[#This Row],[Nome do Instrutor]],tblInstrutores[NOME_COMPLETO],tblInstrutores[ID],"")</f>
        <v/>
      </c>
      <c r="H151" t="str">
        <f>_xlfn.XLOOKUP(tblAlocacao[[#This Row],[TURMA]],tblTurmas[CODIGO_TURMA],tblTurmas[INSTRUTOR],"")</f>
        <v/>
      </c>
      <c r="I151" t="str">
        <f>_xlfn.XLOOKUP(tblAlocacao[[#This Row],[AMBIENTE]],tblAmbientes[NOME_AMBIENTE],tblAmbientes[ID],"")</f>
        <v/>
      </c>
      <c r="K151" t="str">
        <f>_xlfn.XLOOKUP(tblAlocacao[[#This Row],['#VALOR!]],tblTurnos[TURNO],tblTurnos[ID_TURNO],"")</f>
        <v/>
      </c>
      <c r="L151" t="str">
        <f>_xlfn.XLOOKUP(tblAlocacao[[#This Row],[TURMA]],tblTurmas[CODIGO_TURMA],tblTurmas[TURNO],"")</f>
        <v/>
      </c>
      <c r="M151" t="str">
        <f>_xlfn.XLOOKUP(tblAlocacao[[#This Row],[MODALIDADE]], tblModalidades[MODALIDADE], tblModalidades[ID_MODALIDADE],"")</f>
        <v/>
      </c>
      <c r="O151" s="32"/>
      <c r="P151" s="32"/>
      <c r="Q151" s="33" t="e">
        <f>($P151-$O151)-_xlfn.XLOOKUP(tblAlocacao[[#This Row],[TURMA]],tblTurmas[CODIGO_TURMA],tblTurmas[INTERVALO],"")</f>
        <v>#VALUE!</v>
      </c>
    </row>
    <row r="152" spans="1:17" x14ac:dyDescent="0.35">
      <c r="A152">
        <v>151</v>
      </c>
      <c r="B152" s="2"/>
      <c r="C152" t="str">
        <f>_xlfn.XLOOKUP(tblAlocacao[[#This Row],[TURMA]],tblTurmas[CODIGO_TURMA],tblTurmas[ID_TURMA],"")</f>
        <v/>
      </c>
      <c r="E152" t="str">
        <f>_xlfn.XLOOKUP(tblAlocacao[[#This Row],[DISCIPLINA]],tblDisciplinas[NOME_DISCIPLINA],tblDisciplinas[ID_DISCIPLINA],"")</f>
        <v/>
      </c>
      <c r="F152" s="40"/>
      <c r="G152" t="str">
        <f>_xlfn.XLOOKUP(tblAlocacao[[#This Row],[Nome do Instrutor]],tblInstrutores[NOME_COMPLETO],tblInstrutores[ID],"")</f>
        <v/>
      </c>
      <c r="H152" t="str">
        <f>_xlfn.XLOOKUP(tblAlocacao[[#This Row],[TURMA]],tblTurmas[CODIGO_TURMA],tblTurmas[INSTRUTOR],"")</f>
        <v/>
      </c>
      <c r="I152" t="str">
        <f>_xlfn.XLOOKUP(tblAlocacao[[#This Row],[AMBIENTE]],tblAmbientes[NOME_AMBIENTE],tblAmbientes[ID],"")</f>
        <v/>
      </c>
      <c r="K152" t="str">
        <f>_xlfn.XLOOKUP(tblAlocacao[[#This Row],['#VALOR!]],tblTurnos[TURNO],tblTurnos[ID_TURNO],"")</f>
        <v/>
      </c>
      <c r="L152" t="str">
        <f>_xlfn.XLOOKUP(tblAlocacao[[#This Row],[TURMA]],tblTurmas[CODIGO_TURMA],tblTurmas[TURNO],"")</f>
        <v/>
      </c>
      <c r="M152" t="str">
        <f>_xlfn.XLOOKUP(tblAlocacao[[#This Row],[MODALIDADE]], tblModalidades[MODALIDADE], tblModalidades[ID_MODALIDADE],"")</f>
        <v/>
      </c>
      <c r="O152" s="32"/>
      <c r="P152" s="32"/>
      <c r="Q152" s="33" t="e">
        <f>($P152-$O152)-_xlfn.XLOOKUP(tblAlocacao[[#This Row],[TURMA]],tblTurmas[CODIGO_TURMA],tblTurmas[INTERVALO],"")</f>
        <v>#VALUE!</v>
      </c>
    </row>
    <row r="153" spans="1:17" x14ac:dyDescent="0.35">
      <c r="A153">
        <v>152</v>
      </c>
      <c r="B153" s="2"/>
      <c r="C153" t="str">
        <f>_xlfn.XLOOKUP(tblAlocacao[[#This Row],[TURMA]],tblTurmas[CODIGO_TURMA],tblTurmas[ID_TURMA],"")</f>
        <v/>
      </c>
      <c r="E153" t="str">
        <f>_xlfn.XLOOKUP(tblAlocacao[[#This Row],[DISCIPLINA]],tblDisciplinas[NOME_DISCIPLINA],tblDisciplinas[ID_DISCIPLINA],"")</f>
        <v/>
      </c>
      <c r="F153" s="40"/>
      <c r="G153" t="str">
        <f>_xlfn.XLOOKUP(tblAlocacao[[#This Row],[Nome do Instrutor]],tblInstrutores[NOME_COMPLETO],tblInstrutores[ID],"")</f>
        <v/>
      </c>
      <c r="H153" t="str">
        <f>_xlfn.XLOOKUP(tblAlocacao[[#This Row],[TURMA]],tblTurmas[CODIGO_TURMA],tblTurmas[INSTRUTOR],"")</f>
        <v/>
      </c>
      <c r="I153" t="str">
        <f>_xlfn.XLOOKUP(tblAlocacao[[#This Row],[AMBIENTE]],tblAmbientes[NOME_AMBIENTE],tblAmbientes[ID],"")</f>
        <v/>
      </c>
      <c r="K153" t="str">
        <f>_xlfn.XLOOKUP(tblAlocacao[[#This Row],['#VALOR!]],tblTurnos[TURNO],tblTurnos[ID_TURNO],"")</f>
        <v/>
      </c>
      <c r="L153" t="str">
        <f>_xlfn.XLOOKUP(tblAlocacao[[#This Row],[TURMA]],tblTurmas[CODIGO_TURMA],tblTurmas[TURNO],"")</f>
        <v/>
      </c>
      <c r="M153" t="str">
        <f>_xlfn.XLOOKUP(tblAlocacao[[#This Row],[MODALIDADE]], tblModalidades[MODALIDADE], tblModalidades[ID_MODALIDADE],"")</f>
        <v/>
      </c>
      <c r="O153" s="32"/>
      <c r="P153" s="32"/>
      <c r="Q153" s="33" t="e">
        <f>($P153-$O153)-_xlfn.XLOOKUP(tblAlocacao[[#This Row],[TURMA]],tblTurmas[CODIGO_TURMA],tblTurmas[INTERVALO],"")</f>
        <v>#VALUE!</v>
      </c>
    </row>
    <row r="154" spans="1:17" x14ac:dyDescent="0.35">
      <c r="A154">
        <v>153</v>
      </c>
      <c r="B154" s="2"/>
      <c r="C154" t="str">
        <f>_xlfn.XLOOKUP(tblAlocacao[[#This Row],[TURMA]],tblTurmas[CODIGO_TURMA],tblTurmas[ID_TURMA],"")</f>
        <v/>
      </c>
      <c r="E154" t="str">
        <f>_xlfn.XLOOKUP(tblAlocacao[[#This Row],[DISCIPLINA]],tblDisciplinas[NOME_DISCIPLINA],tblDisciplinas[ID_DISCIPLINA],"")</f>
        <v/>
      </c>
      <c r="F154" s="40"/>
      <c r="G154" t="str">
        <f>_xlfn.XLOOKUP(tblAlocacao[[#This Row],[Nome do Instrutor]],tblInstrutores[NOME_COMPLETO],tblInstrutores[ID],"")</f>
        <v/>
      </c>
      <c r="H154" t="str">
        <f>_xlfn.XLOOKUP(tblAlocacao[[#This Row],[TURMA]],tblTurmas[CODIGO_TURMA],tblTurmas[INSTRUTOR],"")</f>
        <v/>
      </c>
      <c r="I154" t="str">
        <f>_xlfn.XLOOKUP(tblAlocacao[[#This Row],[AMBIENTE]],tblAmbientes[NOME_AMBIENTE],tblAmbientes[ID],"")</f>
        <v/>
      </c>
      <c r="K154" t="str">
        <f>_xlfn.XLOOKUP(tblAlocacao[[#This Row],['#VALOR!]],tblTurnos[TURNO],tblTurnos[ID_TURNO],"")</f>
        <v/>
      </c>
      <c r="L154" t="str">
        <f>_xlfn.XLOOKUP(tblAlocacao[[#This Row],[TURMA]],tblTurmas[CODIGO_TURMA],tblTurmas[TURNO],"")</f>
        <v/>
      </c>
      <c r="M154" t="str">
        <f>_xlfn.XLOOKUP(tblAlocacao[[#This Row],[MODALIDADE]], tblModalidades[MODALIDADE], tblModalidades[ID_MODALIDADE],"")</f>
        <v/>
      </c>
      <c r="O154" s="32"/>
      <c r="P154" s="32"/>
      <c r="Q154" s="33" t="e">
        <f>($P154-$O154)-_xlfn.XLOOKUP(tblAlocacao[[#This Row],[TURMA]],tblTurmas[CODIGO_TURMA],tblTurmas[INTERVALO],"")</f>
        <v>#VALUE!</v>
      </c>
    </row>
    <row r="155" spans="1:17" x14ac:dyDescent="0.35">
      <c r="A155">
        <v>154</v>
      </c>
      <c r="B155" s="2"/>
      <c r="C155" t="str">
        <f>_xlfn.XLOOKUP(tblAlocacao[[#This Row],[TURMA]],tblTurmas[CODIGO_TURMA],tblTurmas[ID_TURMA],"")</f>
        <v/>
      </c>
      <c r="E155" t="str">
        <f>_xlfn.XLOOKUP(tblAlocacao[[#This Row],[DISCIPLINA]],tblDisciplinas[NOME_DISCIPLINA],tblDisciplinas[ID_DISCIPLINA],"")</f>
        <v/>
      </c>
      <c r="F155" s="40"/>
      <c r="G155" t="str">
        <f>_xlfn.XLOOKUP(tblAlocacao[[#This Row],[Nome do Instrutor]],tblInstrutores[NOME_COMPLETO],tblInstrutores[ID],"")</f>
        <v/>
      </c>
      <c r="H155" t="str">
        <f>_xlfn.XLOOKUP(tblAlocacao[[#This Row],[TURMA]],tblTurmas[CODIGO_TURMA],tblTurmas[INSTRUTOR],"")</f>
        <v/>
      </c>
      <c r="I155" t="str">
        <f>_xlfn.XLOOKUP(tblAlocacao[[#This Row],[AMBIENTE]],tblAmbientes[NOME_AMBIENTE],tblAmbientes[ID],"")</f>
        <v/>
      </c>
      <c r="K155" t="str">
        <f>_xlfn.XLOOKUP(tblAlocacao[[#This Row],['#VALOR!]],tblTurnos[TURNO],tblTurnos[ID_TURNO],"")</f>
        <v/>
      </c>
      <c r="L155" t="str">
        <f>_xlfn.XLOOKUP(tblAlocacao[[#This Row],[TURMA]],tblTurmas[CODIGO_TURMA],tblTurmas[TURNO],"")</f>
        <v/>
      </c>
      <c r="M155" t="str">
        <f>_xlfn.XLOOKUP(tblAlocacao[[#This Row],[MODALIDADE]], tblModalidades[MODALIDADE], tblModalidades[ID_MODALIDADE],"")</f>
        <v/>
      </c>
      <c r="O155" s="32"/>
      <c r="P155" s="32"/>
      <c r="Q155" s="33" t="e">
        <f>($P155-$O155)-_xlfn.XLOOKUP(tblAlocacao[[#This Row],[TURMA]],tblTurmas[CODIGO_TURMA],tblTurmas[INTERVALO],"")</f>
        <v>#VALUE!</v>
      </c>
    </row>
    <row r="156" spans="1:17" x14ac:dyDescent="0.35">
      <c r="A156">
        <v>155</v>
      </c>
      <c r="B156" s="2"/>
      <c r="C156" t="str">
        <f>_xlfn.XLOOKUP(tblAlocacao[[#This Row],[TURMA]],tblTurmas[CODIGO_TURMA],tblTurmas[ID_TURMA],"")</f>
        <v/>
      </c>
      <c r="E156" t="str">
        <f>_xlfn.XLOOKUP(tblAlocacao[[#This Row],[DISCIPLINA]],tblDisciplinas[NOME_DISCIPLINA],tblDisciplinas[ID_DISCIPLINA],"")</f>
        <v/>
      </c>
      <c r="F156" s="40"/>
      <c r="G156" t="str">
        <f>_xlfn.XLOOKUP(tblAlocacao[[#This Row],[Nome do Instrutor]],tblInstrutores[NOME_COMPLETO],tblInstrutores[ID],"")</f>
        <v/>
      </c>
      <c r="H156" t="str">
        <f>_xlfn.XLOOKUP(tblAlocacao[[#This Row],[TURMA]],tblTurmas[CODIGO_TURMA],tblTurmas[INSTRUTOR],"")</f>
        <v/>
      </c>
      <c r="I156" t="str">
        <f>_xlfn.XLOOKUP(tblAlocacao[[#This Row],[AMBIENTE]],tblAmbientes[NOME_AMBIENTE],tblAmbientes[ID],"")</f>
        <v/>
      </c>
      <c r="K156" t="str">
        <f>_xlfn.XLOOKUP(tblAlocacao[[#This Row],['#VALOR!]],tblTurnos[TURNO],tblTurnos[ID_TURNO],"")</f>
        <v/>
      </c>
      <c r="L156" t="str">
        <f>_xlfn.XLOOKUP(tblAlocacao[[#This Row],[TURMA]],tblTurmas[CODIGO_TURMA],tblTurmas[TURNO],"")</f>
        <v/>
      </c>
      <c r="M156" t="str">
        <f>_xlfn.XLOOKUP(tblAlocacao[[#This Row],[MODALIDADE]], tblModalidades[MODALIDADE], tblModalidades[ID_MODALIDADE],"")</f>
        <v/>
      </c>
      <c r="O156" s="32"/>
      <c r="P156" s="32"/>
      <c r="Q156" s="33" t="e">
        <f>($P156-$O156)-_xlfn.XLOOKUP(tblAlocacao[[#This Row],[TURMA]],tblTurmas[CODIGO_TURMA],tblTurmas[INTERVALO],"")</f>
        <v>#VALUE!</v>
      </c>
    </row>
    <row r="157" spans="1:17" x14ac:dyDescent="0.35">
      <c r="A157">
        <v>156</v>
      </c>
      <c r="B157" s="2"/>
      <c r="C157" t="str">
        <f>_xlfn.XLOOKUP(tblAlocacao[[#This Row],[TURMA]],tblTurmas[CODIGO_TURMA],tblTurmas[ID_TURMA],"")</f>
        <v/>
      </c>
      <c r="E157" t="str">
        <f>_xlfn.XLOOKUP(tblAlocacao[[#This Row],[DISCIPLINA]],tblDisciplinas[NOME_DISCIPLINA],tblDisciplinas[ID_DISCIPLINA],"")</f>
        <v/>
      </c>
      <c r="F157" s="40"/>
      <c r="G157" t="str">
        <f>_xlfn.XLOOKUP(tblAlocacao[[#This Row],[Nome do Instrutor]],tblInstrutores[NOME_COMPLETO],tblInstrutores[ID],"")</f>
        <v/>
      </c>
      <c r="H157" t="str">
        <f>_xlfn.XLOOKUP(tblAlocacao[[#This Row],[TURMA]],tblTurmas[CODIGO_TURMA],tblTurmas[INSTRUTOR],"")</f>
        <v/>
      </c>
      <c r="I157" t="str">
        <f>_xlfn.XLOOKUP(tblAlocacao[[#This Row],[AMBIENTE]],tblAmbientes[NOME_AMBIENTE],tblAmbientes[ID],"")</f>
        <v/>
      </c>
      <c r="K157" t="str">
        <f>_xlfn.XLOOKUP(tblAlocacao[[#This Row],['#VALOR!]],tblTurnos[TURNO],tblTurnos[ID_TURNO],"")</f>
        <v/>
      </c>
      <c r="L157" t="str">
        <f>_xlfn.XLOOKUP(tblAlocacao[[#This Row],[TURMA]],tblTurmas[CODIGO_TURMA],tblTurmas[TURNO],"")</f>
        <v/>
      </c>
      <c r="M157" t="str">
        <f>_xlfn.XLOOKUP(tblAlocacao[[#This Row],[MODALIDADE]], tblModalidades[MODALIDADE], tblModalidades[ID_MODALIDADE],"")</f>
        <v/>
      </c>
      <c r="O157" s="32"/>
      <c r="P157" s="32"/>
      <c r="Q157" s="33" t="e">
        <f>($P157-$O157)-_xlfn.XLOOKUP(tblAlocacao[[#This Row],[TURMA]],tblTurmas[CODIGO_TURMA],tblTurmas[INTERVALO],"")</f>
        <v>#VALUE!</v>
      </c>
    </row>
    <row r="158" spans="1:17" x14ac:dyDescent="0.35">
      <c r="A158">
        <v>157</v>
      </c>
      <c r="B158" s="2"/>
      <c r="C158" t="str">
        <f>_xlfn.XLOOKUP(tblAlocacao[[#This Row],[TURMA]],tblTurmas[CODIGO_TURMA],tblTurmas[ID_TURMA],"")</f>
        <v/>
      </c>
      <c r="E158" t="str">
        <f>_xlfn.XLOOKUP(tblAlocacao[[#This Row],[DISCIPLINA]],tblDisciplinas[NOME_DISCIPLINA],tblDisciplinas[ID_DISCIPLINA],"")</f>
        <v/>
      </c>
      <c r="F158" s="40"/>
      <c r="G158" t="str">
        <f>_xlfn.XLOOKUP(tblAlocacao[[#This Row],[Nome do Instrutor]],tblInstrutores[NOME_COMPLETO],tblInstrutores[ID],"")</f>
        <v/>
      </c>
      <c r="H158" t="str">
        <f>_xlfn.XLOOKUP(tblAlocacao[[#This Row],[TURMA]],tblTurmas[CODIGO_TURMA],tblTurmas[INSTRUTOR],"")</f>
        <v/>
      </c>
      <c r="I158" t="str">
        <f>_xlfn.XLOOKUP(tblAlocacao[[#This Row],[AMBIENTE]],tblAmbientes[NOME_AMBIENTE],tblAmbientes[ID],"")</f>
        <v/>
      </c>
      <c r="K158" t="str">
        <f>_xlfn.XLOOKUP(tblAlocacao[[#This Row],['#VALOR!]],tblTurnos[TURNO],tblTurnos[ID_TURNO],"")</f>
        <v/>
      </c>
      <c r="L158" t="str">
        <f>_xlfn.XLOOKUP(tblAlocacao[[#This Row],[TURMA]],tblTurmas[CODIGO_TURMA],tblTurmas[TURNO],"")</f>
        <v/>
      </c>
      <c r="M158" t="str">
        <f>_xlfn.XLOOKUP(tblAlocacao[[#This Row],[MODALIDADE]], tblModalidades[MODALIDADE], tblModalidades[ID_MODALIDADE],"")</f>
        <v/>
      </c>
      <c r="O158" s="32"/>
      <c r="P158" s="32"/>
      <c r="Q158" s="33" t="e">
        <f>($P158-$O158)-_xlfn.XLOOKUP(tblAlocacao[[#This Row],[TURMA]],tblTurmas[CODIGO_TURMA],tblTurmas[INTERVALO],"")</f>
        <v>#VALUE!</v>
      </c>
    </row>
    <row r="159" spans="1:17" x14ac:dyDescent="0.35">
      <c r="A159">
        <v>158</v>
      </c>
      <c r="B159" s="2"/>
      <c r="C159" t="str">
        <f>_xlfn.XLOOKUP(tblAlocacao[[#This Row],[TURMA]],tblTurmas[CODIGO_TURMA],tblTurmas[ID_TURMA],"")</f>
        <v/>
      </c>
      <c r="E159" t="str">
        <f>_xlfn.XLOOKUP(tblAlocacao[[#This Row],[DISCIPLINA]],tblDisciplinas[NOME_DISCIPLINA],tblDisciplinas[ID_DISCIPLINA],"")</f>
        <v/>
      </c>
      <c r="F159" s="40"/>
      <c r="G159" t="str">
        <f>_xlfn.XLOOKUP(tblAlocacao[[#This Row],[Nome do Instrutor]],tblInstrutores[NOME_COMPLETO],tblInstrutores[ID],"")</f>
        <v/>
      </c>
      <c r="H159" t="str">
        <f>_xlfn.XLOOKUP(tblAlocacao[[#This Row],[TURMA]],tblTurmas[CODIGO_TURMA],tblTurmas[INSTRUTOR],"")</f>
        <v/>
      </c>
      <c r="I159" t="str">
        <f>_xlfn.XLOOKUP(tblAlocacao[[#This Row],[AMBIENTE]],tblAmbientes[NOME_AMBIENTE],tblAmbientes[ID],"")</f>
        <v/>
      </c>
      <c r="K159" t="str">
        <f>_xlfn.XLOOKUP(tblAlocacao[[#This Row],['#VALOR!]],tblTurnos[TURNO],tblTurnos[ID_TURNO],"")</f>
        <v/>
      </c>
      <c r="L159" t="str">
        <f>_xlfn.XLOOKUP(tblAlocacao[[#This Row],[TURMA]],tblTurmas[CODIGO_TURMA],tblTurmas[TURNO],"")</f>
        <v/>
      </c>
      <c r="M159" t="str">
        <f>_xlfn.XLOOKUP(tblAlocacao[[#This Row],[MODALIDADE]], tblModalidades[MODALIDADE], tblModalidades[ID_MODALIDADE],"")</f>
        <v/>
      </c>
      <c r="O159" s="32"/>
      <c r="P159" s="32"/>
      <c r="Q159" s="33" t="e">
        <f>($P159-$O159)-_xlfn.XLOOKUP(tblAlocacao[[#This Row],[TURMA]],tblTurmas[CODIGO_TURMA],tblTurmas[INTERVALO],"")</f>
        <v>#VALUE!</v>
      </c>
    </row>
    <row r="160" spans="1:17" x14ac:dyDescent="0.35">
      <c r="A160">
        <v>159</v>
      </c>
      <c r="B160" s="2"/>
      <c r="C160" t="str">
        <f>_xlfn.XLOOKUP(tblAlocacao[[#This Row],[TURMA]],tblTurmas[CODIGO_TURMA],tblTurmas[ID_TURMA],"")</f>
        <v/>
      </c>
      <c r="E160" t="str">
        <f>_xlfn.XLOOKUP(tblAlocacao[[#This Row],[DISCIPLINA]],tblDisciplinas[NOME_DISCIPLINA],tblDisciplinas[ID_DISCIPLINA],"")</f>
        <v/>
      </c>
      <c r="F160" s="40"/>
      <c r="G160" t="str">
        <f>_xlfn.XLOOKUP(tblAlocacao[[#This Row],[Nome do Instrutor]],tblInstrutores[NOME_COMPLETO],tblInstrutores[ID],"")</f>
        <v/>
      </c>
      <c r="H160" t="str">
        <f>_xlfn.XLOOKUP(tblAlocacao[[#This Row],[TURMA]],tblTurmas[CODIGO_TURMA],tblTurmas[INSTRUTOR],"")</f>
        <v/>
      </c>
      <c r="I160" t="str">
        <f>_xlfn.XLOOKUP(tblAlocacao[[#This Row],[AMBIENTE]],tblAmbientes[NOME_AMBIENTE],tblAmbientes[ID],"")</f>
        <v/>
      </c>
      <c r="K160" t="str">
        <f>_xlfn.XLOOKUP(tblAlocacao[[#This Row],['#VALOR!]],tblTurnos[TURNO],tblTurnos[ID_TURNO],"")</f>
        <v/>
      </c>
      <c r="L160" t="str">
        <f>_xlfn.XLOOKUP(tblAlocacao[[#This Row],[TURMA]],tblTurmas[CODIGO_TURMA],tblTurmas[TURNO],"")</f>
        <v/>
      </c>
      <c r="M160" t="str">
        <f>_xlfn.XLOOKUP(tblAlocacao[[#This Row],[MODALIDADE]], tblModalidades[MODALIDADE], tblModalidades[ID_MODALIDADE],"")</f>
        <v/>
      </c>
      <c r="O160" s="32"/>
      <c r="P160" s="32"/>
      <c r="Q160" s="33" t="e">
        <f>($P160-$O160)-_xlfn.XLOOKUP(tblAlocacao[[#This Row],[TURMA]],tblTurmas[CODIGO_TURMA],tblTurmas[INTERVALO],"")</f>
        <v>#VALUE!</v>
      </c>
    </row>
    <row r="161" spans="1:17" x14ac:dyDescent="0.35">
      <c r="A161">
        <v>160</v>
      </c>
      <c r="B161" s="2"/>
      <c r="C161" t="str">
        <f>_xlfn.XLOOKUP(tblAlocacao[[#This Row],[TURMA]],tblTurmas[CODIGO_TURMA],tblTurmas[ID_TURMA],"")</f>
        <v/>
      </c>
      <c r="E161" t="str">
        <f>_xlfn.XLOOKUP(tblAlocacao[[#This Row],[DISCIPLINA]],tblDisciplinas[NOME_DISCIPLINA],tblDisciplinas[ID_DISCIPLINA],"")</f>
        <v/>
      </c>
      <c r="F161" s="40"/>
      <c r="G161" t="str">
        <f>_xlfn.XLOOKUP(tblAlocacao[[#This Row],[Nome do Instrutor]],tblInstrutores[NOME_COMPLETO],tblInstrutores[ID],"")</f>
        <v/>
      </c>
      <c r="H161" t="str">
        <f>_xlfn.XLOOKUP(tblAlocacao[[#This Row],[TURMA]],tblTurmas[CODIGO_TURMA],tblTurmas[INSTRUTOR],"")</f>
        <v/>
      </c>
      <c r="I161" t="str">
        <f>_xlfn.XLOOKUP(tblAlocacao[[#This Row],[AMBIENTE]],tblAmbientes[NOME_AMBIENTE],tblAmbientes[ID],"")</f>
        <v/>
      </c>
      <c r="K161" t="str">
        <f>_xlfn.XLOOKUP(tblAlocacao[[#This Row],['#VALOR!]],tblTurnos[TURNO],tblTurnos[ID_TURNO],"")</f>
        <v/>
      </c>
      <c r="L161" t="str">
        <f>_xlfn.XLOOKUP(tblAlocacao[[#This Row],[TURMA]],tblTurmas[CODIGO_TURMA],tblTurmas[TURNO],"")</f>
        <v/>
      </c>
      <c r="M161" t="str">
        <f>_xlfn.XLOOKUP(tblAlocacao[[#This Row],[MODALIDADE]], tblModalidades[MODALIDADE], tblModalidades[ID_MODALIDADE],"")</f>
        <v/>
      </c>
      <c r="O161" s="32"/>
      <c r="P161" s="32"/>
      <c r="Q161" s="33" t="e">
        <f>($P161-$O161)-_xlfn.XLOOKUP(tblAlocacao[[#This Row],[TURMA]],tblTurmas[CODIGO_TURMA],tblTurmas[INTERVALO],"")</f>
        <v>#VALUE!</v>
      </c>
    </row>
    <row r="162" spans="1:17" x14ac:dyDescent="0.35">
      <c r="A162">
        <v>161</v>
      </c>
      <c r="B162" s="2"/>
      <c r="C162" t="str">
        <f>_xlfn.XLOOKUP(tblAlocacao[[#This Row],[TURMA]],tblTurmas[CODIGO_TURMA],tblTurmas[ID_TURMA],"")</f>
        <v/>
      </c>
      <c r="E162" t="str">
        <f>_xlfn.XLOOKUP(tblAlocacao[[#This Row],[DISCIPLINA]],tblDisciplinas[NOME_DISCIPLINA],tblDisciplinas[ID_DISCIPLINA],"")</f>
        <v/>
      </c>
      <c r="F162" s="40"/>
      <c r="G162" t="str">
        <f>_xlfn.XLOOKUP(tblAlocacao[[#This Row],[Nome do Instrutor]],tblInstrutores[NOME_COMPLETO],tblInstrutores[ID],"")</f>
        <v/>
      </c>
      <c r="H162" t="str">
        <f>_xlfn.XLOOKUP(tblAlocacao[[#This Row],[TURMA]],tblTurmas[CODIGO_TURMA],tblTurmas[INSTRUTOR],"")</f>
        <v/>
      </c>
      <c r="I162" t="str">
        <f>_xlfn.XLOOKUP(tblAlocacao[[#This Row],[AMBIENTE]],tblAmbientes[NOME_AMBIENTE],tblAmbientes[ID],"")</f>
        <v/>
      </c>
      <c r="K162" t="str">
        <f>_xlfn.XLOOKUP(tblAlocacao[[#This Row],['#VALOR!]],tblTurnos[TURNO],tblTurnos[ID_TURNO],"")</f>
        <v/>
      </c>
      <c r="L162" t="str">
        <f>_xlfn.XLOOKUP(tblAlocacao[[#This Row],[TURMA]],tblTurmas[CODIGO_TURMA],tblTurmas[TURNO],"")</f>
        <v/>
      </c>
      <c r="M162" t="str">
        <f>_xlfn.XLOOKUP(tblAlocacao[[#This Row],[MODALIDADE]], tblModalidades[MODALIDADE], tblModalidades[ID_MODALIDADE],"")</f>
        <v/>
      </c>
      <c r="O162" s="32"/>
      <c r="P162" s="32"/>
      <c r="Q162" s="33" t="e">
        <f>($P162-$O162)-_xlfn.XLOOKUP(tblAlocacao[[#This Row],[TURMA]],tblTurmas[CODIGO_TURMA],tblTurmas[INTERVALO],"")</f>
        <v>#VALUE!</v>
      </c>
    </row>
    <row r="163" spans="1:17" x14ac:dyDescent="0.35">
      <c r="A163">
        <v>162</v>
      </c>
      <c r="B163" s="2"/>
      <c r="C163" t="str">
        <f>_xlfn.XLOOKUP(tblAlocacao[[#This Row],[TURMA]],tblTurmas[CODIGO_TURMA],tblTurmas[ID_TURMA],"")</f>
        <v/>
      </c>
      <c r="E163" t="str">
        <f>_xlfn.XLOOKUP(tblAlocacao[[#This Row],[DISCIPLINA]],tblDisciplinas[NOME_DISCIPLINA],tblDisciplinas[ID_DISCIPLINA],"")</f>
        <v/>
      </c>
      <c r="F163" s="40"/>
      <c r="G163" t="str">
        <f>_xlfn.XLOOKUP(tblAlocacao[[#This Row],[Nome do Instrutor]],tblInstrutores[NOME_COMPLETO],tblInstrutores[ID],"")</f>
        <v/>
      </c>
      <c r="H163" t="str">
        <f>_xlfn.XLOOKUP(tblAlocacao[[#This Row],[TURMA]],tblTurmas[CODIGO_TURMA],tblTurmas[INSTRUTOR],"")</f>
        <v/>
      </c>
      <c r="I163" t="str">
        <f>_xlfn.XLOOKUP(tblAlocacao[[#This Row],[AMBIENTE]],tblAmbientes[NOME_AMBIENTE],tblAmbientes[ID],"")</f>
        <v/>
      </c>
      <c r="K163" t="str">
        <f>_xlfn.XLOOKUP(tblAlocacao[[#This Row],['#VALOR!]],tblTurnos[TURNO],tblTurnos[ID_TURNO],"")</f>
        <v/>
      </c>
      <c r="L163" t="str">
        <f>_xlfn.XLOOKUP(tblAlocacao[[#This Row],[TURMA]],tblTurmas[CODIGO_TURMA],tblTurmas[TURNO],"")</f>
        <v/>
      </c>
      <c r="M163" t="str">
        <f>_xlfn.XLOOKUP(tblAlocacao[[#This Row],[MODALIDADE]], tblModalidades[MODALIDADE], tblModalidades[ID_MODALIDADE],"")</f>
        <v/>
      </c>
      <c r="O163" s="32"/>
      <c r="P163" s="32"/>
      <c r="Q163" s="33" t="e">
        <f>($P163-$O163)-_xlfn.XLOOKUP(tblAlocacao[[#This Row],[TURMA]],tblTurmas[CODIGO_TURMA],tblTurmas[INTERVALO],"")</f>
        <v>#VALUE!</v>
      </c>
    </row>
    <row r="164" spans="1:17" x14ac:dyDescent="0.35">
      <c r="A164">
        <v>163</v>
      </c>
      <c r="B164" s="2"/>
      <c r="C164" t="str">
        <f>_xlfn.XLOOKUP(tblAlocacao[[#This Row],[TURMA]],tblTurmas[CODIGO_TURMA],tblTurmas[ID_TURMA],"")</f>
        <v/>
      </c>
      <c r="E164" t="str">
        <f>_xlfn.XLOOKUP(tblAlocacao[[#This Row],[DISCIPLINA]],tblDisciplinas[NOME_DISCIPLINA],tblDisciplinas[ID_DISCIPLINA],"")</f>
        <v/>
      </c>
      <c r="F164" s="40"/>
      <c r="G164" t="str">
        <f>_xlfn.XLOOKUP(tblAlocacao[[#This Row],[Nome do Instrutor]],tblInstrutores[NOME_COMPLETO],tblInstrutores[ID],"")</f>
        <v/>
      </c>
      <c r="H164" t="str">
        <f>_xlfn.XLOOKUP(tblAlocacao[[#This Row],[TURMA]],tblTurmas[CODIGO_TURMA],tblTurmas[INSTRUTOR],"")</f>
        <v/>
      </c>
      <c r="I164" t="str">
        <f>_xlfn.XLOOKUP(tblAlocacao[[#This Row],[AMBIENTE]],tblAmbientes[NOME_AMBIENTE],tblAmbientes[ID],"")</f>
        <v/>
      </c>
      <c r="K164" t="str">
        <f>_xlfn.XLOOKUP(tblAlocacao[[#This Row],['#VALOR!]],tblTurnos[TURNO],tblTurnos[ID_TURNO],"")</f>
        <v/>
      </c>
      <c r="L164" t="str">
        <f>_xlfn.XLOOKUP(tblAlocacao[[#This Row],[TURMA]],tblTurmas[CODIGO_TURMA],tblTurmas[TURNO],"")</f>
        <v/>
      </c>
      <c r="M164" t="str">
        <f>_xlfn.XLOOKUP(tblAlocacao[[#This Row],[MODALIDADE]], tblModalidades[MODALIDADE], tblModalidades[ID_MODALIDADE],"")</f>
        <v/>
      </c>
      <c r="O164" s="32"/>
      <c r="P164" s="32"/>
      <c r="Q164" s="33" t="e">
        <f>($P164-$O164)-_xlfn.XLOOKUP(tblAlocacao[[#This Row],[TURMA]],tblTurmas[CODIGO_TURMA],tblTurmas[INTERVALO],"")</f>
        <v>#VALUE!</v>
      </c>
    </row>
    <row r="165" spans="1:17" x14ac:dyDescent="0.35">
      <c r="A165">
        <v>164</v>
      </c>
      <c r="B165" s="2"/>
      <c r="C165" t="str">
        <f>_xlfn.XLOOKUP(tblAlocacao[[#This Row],[TURMA]],tblTurmas[CODIGO_TURMA],tblTurmas[ID_TURMA],"")</f>
        <v/>
      </c>
      <c r="E165" t="str">
        <f>_xlfn.XLOOKUP(tblAlocacao[[#This Row],[DISCIPLINA]],tblDisciplinas[NOME_DISCIPLINA],tblDisciplinas[ID_DISCIPLINA],"")</f>
        <v/>
      </c>
      <c r="F165" s="40"/>
      <c r="G165" t="str">
        <f>_xlfn.XLOOKUP(tblAlocacao[[#This Row],[Nome do Instrutor]],tblInstrutores[NOME_COMPLETO],tblInstrutores[ID],"")</f>
        <v/>
      </c>
      <c r="H165" t="str">
        <f>_xlfn.XLOOKUP(tblAlocacao[[#This Row],[TURMA]],tblTurmas[CODIGO_TURMA],tblTurmas[INSTRUTOR],"")</f>
        <v/>
      </c>
      <c r="I165" t="str">
        <f>_xlfn.XLOOKUP(tblAlocacao[[#This Row],[AMBIENTE]],tblAmbientes[NOME_AMBIENTE],tblAmbientes[ID],"")</f>
        <v/>
      </c>
      <c r="K165" t="str">
        <f>_xlfn.XLOOKUP(tblAlocacao[[#This Row],['#VALOR!]],tblTurnos[TURNO],tblTurnos[ID_TURNO],"")</f>
        <v/>
      </c>
      <c r="L165" t="str">
        <f>_xlfn.XLOOKUP(tblAlocacao[[#This Row],[TURMA]],tblTurmas[CODIGO_TURMA],tblTurmas[TURNO],"")</f>
        <v/>
      </c>
      <c r="M165" t="str">
        <f>_xlfn.XLOOKUP(tblAlocacao[[#This Row],[MODALIDADE]], tblModalidades[MODALIDADE], tblModalidades[ID_MODALIDADE],"")</f>
        <v/>
      </c>
      <c r="O165" s="32"/>
      <c r="P165" s="32"/>
      <c r="Q165" s="33" t="e">
        <f>($P165-$O165)-_xlfn.XLOOKUP(tblAlocacao[[#This Row],[TURMA]],tblTurmas[CODIGO_TURMA],tblTurmas[INTERVALO],"")</f>
        <v>#VALUE!</v>
      </c>
    </row>
    <row r="166" spans="1:17" x14ac:dyDescent="0.35">
      <c r="A166">
        <v>165</v>
      </c>
      <c r="B166" s="2"/>
      <c r="C166" t="str">
        <f>_xlfn.XLOOKUP(tblAlocacao[[#This Row],[TURMA]],tblTurmas[CODIGO_TURMA],tblTurmas[ID_TURMA],"")</f>
        <v/>
      </c>
      <c r="E166" t="str">
        <f>_xlfn.XLOOKUP(tblAlocacao[[#This Row],[DISCIPLINA]],tblDisciplinas[NOME_DISCIPLINA],tblDisciplinas[ID_DISCIPLINA],"")</f>
        <v/>
      </c>
      <c r="F166" s="40"/>
      <c r="G166" t="str">
        <f>_xlfn.XLOOKUP(tblAlocacao[[#This Row],[Nome do Instrutor]],tblInstrutores[NOME_COMPLETO],tblInstrutores[ID],"")</f>
        <v/>
      </c>
      <c r="H166" t="str">
        <f>_xlfn.XLOOKUP(tblAlocacao[[#This Row],[TURMA]],tblTurmas[CODIGO_TURMA],tblTurmas[INSTRUTOR],"")</f>
        <v/>
      </c>
      <c r="I166" t="str">
        <f>_xlfn.XLOOKUP(tblAlocacao[[#This Row],[AMBIENTE]],tblAmbientes[NOME_AMBIENTE],tblAmbientes[ID],"")</f>
        <v/>
      </c>
      <c r="K166" t="str">
        <f>_xlfn.XLOOKUP(tblAlocacao[[#This Row],['#VALOR!]],tblTurnos[TURNO],tblTurnos[ID_TURNO],"")</f>
        <v/>
      </c>
      <c r="L166" t="str">
        <f>_xlfn.XLOOKUP(tblAlocacao[[#This Row],[TURMA]],tblTurmas[CODIGO_TURMA],tblTurmas[TURNO],"")</f>
        <v/>
      </c>
      <c r="M166" t="str">
        <f>_xlfn.XLOOKUP(tblAlocacao[[#This Row],[MODALIDADE]], tblModalidades[MODALIDADE], tblModalidades[ID_MODALIDADE],"")</f>
        <v/>
      </c>
      <c r="O166" s="32"/>
      <c r="P166" s="32"/>
      <c r="Q166" s="33" t="e">
        <f>($P166-$O166)-_xlfn.XLOOKUP(tblAlocacao[[#This Row],[TURMA]],tblTurmas[CODIGO_TURMA],tblTurmas[INTERVALO],"")</f>
        <v>#VALUE!</v>
      </c>
    </row>
    <row r="167" spans="1:17" x14ac:dyDescent="0.35">
      <c r="A167">
        <v>166</v>
      </c>
      <c r="B167" s="2"/>
      <c r="C167" t="str">
        <f>_xlfn.XLOOKUP(tblAlocacao[[#This Row],[TURMA]],tblTurmas[CODIGO_TURMA],tblTurmas[ID_TURMA],"")</f>
        <v/>
      </c>
      <c r="E167" t="str">
        <f>_xlfn.XLOOKUP(tblAlocacao[[#This Row],[DISCIPLINA]],tblDisciplinas[NOME_DISCIPLINA],tblDisciplinas[ID_DISCIPLINA],"")</f>
        <v/>
      </c>
      <c r="F167" s="40"/>
      <c r="G167" t="str">
        <f>_xlfn.XLOOKUP(tblAlocacao[[#This Row],[Nome do Instrutor]],tblInstrutores[NOME_COMPLETO],tblInstrutores[ID],"")</f>
        <v/>
      </c>
      <c r="H167" t="str">
        <f>_xlfn.XLOOKUP(tblAlocacao[[#This Row],[TURMA]],tblTurmas[CODIGO_TURMA],tblTurmas[INSTRUTOR],"")</f>
        <v/>
      </c>
      <c r="I167" t="str">
        <f>_xlfn.XLOOKUP(tblAlocacao[[#This Row],[AMBIENTE]],tblAmbientes[NOME_AMBIENTE],tblAmbientes[ID],"")</f>
        <v/>
      </c>
      <c r="K167" t="str">
        <f>_xlfn.XLOOKUP(tblAlocacao[[#This Row],['#VALOR!]],tblTurnos[TURNO],tblTurnos[ID_TURNO],"")</f>
        <v/>
      </c>
      <c r="L167" t="str">
        <f>_xlfn.XLOOKUP(tblAlocacao[[#This Row],[TURMA]],tblTurmas[CODIGO_TURMA],tblTurmas[TURNO],"")</f>
        <v/>
      </c>
      <c r="M167" t="str">
        <f>_xlfn.XLOOKUP(tblAlocacao[[#This Row],[MODALIDADE]], tblModalidades[MODALIDADE], tblModalidades[ID_MODALIDADE],"")</f>
        <v/>
      </c>
      <c r="O167" s="32"/>
      <c r="P167" s="32"/>
      <c r="Q167" s="33" t="e">
        <f>($P167-$O167)-_xlfn.XLOOKUP(tblAlocacao[[#This Row],[TURMA]],tblTurmas[CODIGO_TURMA],tblTurmas[INTERVALO],"")</f>
        <v>#VALUE!</v>
      </c>
    </row>
    <row r="168" spans="1:17" x14ac:dyDescent="0.35">
      <c r="A168">
        <v>167</v>
      </c>
      <c r="B168" s="2"/>
      <c r="C168" t="str">
        <f>_xlfn.XLOOKUP(tblAlocacao[[#This Row],[TURMA]],tblTurmas[CODIGO_TURMA],tblTurmas[ID_TURMA],"")</f>
        <v/>
      </c>
      <c r="E168" t="str">
        <f>_xlfn.XLOOKUP(tblAlocacao[[#This Row],[DISCIPLINA]],tblDisciplinas[NOME_DISCIPLINA],tblDisciplinas[ID_DISCIPLINA],"")</f>
        <v/>
      </c>
      <c r="F168" s="40"/>
      <c r="G168" t="str">
        <f>_xlfn.XLOOKUP(tblAlocacao[[#This Row],[Nome do Instrutor]],tblInstrutores[NOME_COMPLETO],tblInstrutores[ID],"")</f>
        <v/>
      </c>
      <c r="H168" t="str">
        <f>_xlfn.XLOOKUP(tblAlocacao[[#This Row],[TURMA]],tblTurmas[CODIGO_TURMA],tblTurmas[INSTRUTOR],"")</f>
        <v/>
      </c>
      <c r="I168" t="str">
        <f>_xlfn.XLOOKUP(tblAlocacao[[#This Row],[AMBIENTE]],tblAmbientes[NOME_AMBIENTE],tblAmbientes[ID],"")</f>
        <v/>
      </c>
      <c r="K168" t="str">
        <f>_xlfn.XLOOKUP(tblAlocacao[[#This Row],['#VALOR!]],tblTurnos[TURNO],tblTurnos[ID_TURNO],"")</f>
        <v/>
      </c>
      <c r="L168" t="str">
        <f>_xlfn.XLOOKUP(tblAlocacao[[#This Row],[TURMA]],tblTurmas[CODIGO_TURMA],tblTurmas[TURNO],"")</f>
        <v/>
      </c>
      <c r="M168" t="str">
        <f>_xlfn.XLOOKUP(tblAlocacao[[#This Row],[MODALIDADE]], tblModalidades[MODALIDADE], tblModalidades[ID_MODALIDADE],"")</f>
        <v/>
      </c>
      <c r="O168" s="32"/>
      <c r="P168" s="32"/>
      <c r="Q168" s="33" t="e">
        <f>($P168-$O168)-_xlfn.XLOOKUP(tblAlocacao[[#This Row],[TURMA]],tblTurmas[CODIGO_TURMA],tblTurmas[INTERVALO],"")</f>
        <v>#VALUE!</v>
      </c>
    </row>
    <row r="169" spans="1:17" x14ac:dyDescent="0.35">
      <c r="A169">
        <v>168</v>
      </c>
      <c r="B169" s="2"/>
      <c r="C169" t="str">
        <f>_xlfn.XLOOKUP(tblAlocacao[[#This Row],[TURMA]],tblTurmas[CODIGO_TURMA],tblTurmas[ID_TURMA],"")</f>
        <v/>
      </c>
      <c r="E169" t="str">
        <f>_xlfn.XLOOKUP(tblAlocacao[[#This Row],[DISCIPLINA]],tblDisciplinas[NOME_DISCIPLINA],tblDisciplinas[ID_DISCIPLINA],"")</f>
        <v/>
      </c>
      <c r="F169" s="40"/>
      <c r="G169" t="str">
        <f>_xlfn.XLOOKUP(tblAlocacao[[#This Row],[Nome do Instrutor]],tblInstrutores[NOME_COMPLETO],tblInstrutores[ID],"")</f>
        <v/>
      </c>
      <c r="H169" t="str">
        <f>_xlfn.XLOOKUP(tblAlocacao[[#This Row],[TURMA]],tblTurmas[CODIGO_TURMA],tblTurmas[INSTRUTOR],"")</f>
        <v/>
      </c>
      <c r="I169" t="str">
        <f>_xlfn.XLOOKUP(tblAlocacao[[#This Row],[AMBIENTE]],tblAmbientes[NOME_AMBIENTE],tblAmbientes[ID],"")</f>
        <v/>
      </c>
      <c r="K169" t="str">
        <f>_xlfn.XLOOKUP(tblAlocacao[[#This Row],['#VALOR!]],tblTurnos[TURNO],tblTurnos[ID_TURNO],"")</f>
        <v/>
      </c>
      <c r="L169" t="str">
        <f>_xlfn.XLOOKUP(tblAlocacao[[#This Row],[TURMA]],tblTurmas[CODIGO_TURMA],tblTurmas[TURNO],"")</f>
        <v/>
      </c>
      <c r="M169" t="str">
        <f>_xlfn.XLOOKUP(tblAlocacao[[#This Row],[MODALIDADE]], tblModalidades[MODALIDADE], tblModalidades[ID_MODALIDADE],"")</f>
        <v/>
      </c>
      <c r="O169" s="32"/>
      <c r="P169" s="32"/>
      <c r="Q169" s="33" t="e">
        <f>($P169-$O169)-_xlfn.XLOOKUP(tblAlocacao[[#This Row],[TURMA]],tblTurmas[CODIGO_TURMA],tblTurmas[INTERVALO],"")</f>
        <v>#VALUE!</v>
      </c>
    </row>
    <row r="170" spans="1:17" x14ac:dyDescent="0.35">
      <c r="A170">
        <v>169</v>
      </c>
      <c r="B170" s="2"/>
      <c r="C170" t="str">
        <f>_xlfn.XLOOKUP(tblAlocacao[[#This Row],[TURMA]],tblTurmas[CODIGO_TURMA],tblTurmas[ID_TURMA],"")</f>
        <v/>
      </c>
      <c r="E170" t="str">
        <f>_xlfn.XLOOKUP(tblAlocacao[[#This Row],[DISCIPLINA]],tblDisciplinas[NOME_DISCIPLINA],tblDisciplinas[ID_DISCIPLINA],"")</f>
        <v/>
      </c>
      <c r="F170" s="40"/>
      <c r="G170" t="str">
        <f>_xlfn.XLOOKUP(tblAlocacao[[#This Row],[Nome do Instrutor]],tblInstrutores[NOME_COMPLETO],tblInstrutores[ID],"")</f>
        <v/>
      </c>
      <c r="H170" t="str">
        <f>_xlfn.XLOOKUP(tblAlocacao[[#This Row],[TURMA]],tblTurmas[CODIGO_TURMA],tblTurmas[INSTRUTOR],"")</f>
        <v/>
      </c>
      <c r="I170" t="str">
        <f>_xlfn.XLOOKUP(tblAlocacao[[#This Row],[AMBIENTE]],tblAmbientes[NOME_AMBIENTE],tblAmbientes[ID],"")</f>
        <v/>
      </c>
      <c r="K170" t="str">
        <f>_xlfn.XLOOKUP(tblAlocacao[[#This Row],['#VALOR!]],tblTurnos[TURNO],tblTurnos[ID_TURNO],"")</f>
        <v/>
      </c>
      <c r="L170" t="str">
        <f>_xlfn.XLOOKUP(tblAlocacao[[#This Row],[TURMA]],tblTurmas[CODIGO_TURMA],tblTurmas[TURNO],"")</f>
        <v/>
      </c>
      <c r="M170" t="str">
        <f>_xlfn.XLOOKUP(tblAlocacao[[#This Row],[MODALIDADE]], tblModalidades[MODALIDADE], tblModalidades[ID_MODALIDADE],"")</f>
        <v/>
      </c>
      <c r="O170" s="32"/>
      <c r="P170" s="32"/>
      <c r="Q170" s="33" t="e">
        <f>($P170-$O170)-_xlfn.XLOOKUP(tblAlocacao[[#This Row],[TURMA]],tblTurmas[CODIGO_TURMA],tblTurmas[INTERVALO],"")</f>
        <v>#VALUE!</v>
      </c>
    </row>
    <row r="171" spans="1:17" x14ac:dyDescent="0.35">
      <c r="A171">
        <v>170</v>
      </c>
      <c r="B171" s="2"/>
      <c r="C171" t="str">
        <f>_xlfn.XLOOKUP(tblAlocacao[[#This Row],[TURMA]],tblTurmas[CODIGO_TURMA],tblTurmas[ID_TURMA],"")</f>
        <v/>
      </c>
      <c r="E171" t="str">
        <f>_xlfn.XLOOKUP(tblAlocacao[[#This Row],[DISCIPLINA]],tblDisciplinas[NOME_DISCIPLINA],tblDisciplinas[ID_DISCIPLINA],"")</f>
        <v/>
      </c>
      <c r="F171" s="40"/>
      <c r="G171" t="str">
        <f>_xlfn.XLOOKUP(tblAlocacao[[#This Row],[Nome do Instrutor]],tblInstrutores[NOME_COMPLETO],tblInstrutores[ID],"")</f>
        <v/>
      </c>
      <c r="H171" t="str">
        <f>_xlfn.XLOOKUP(tblAlocacao[[#This Row],[TURMA]],tblTurmas[CODIGO_TURMA],tblTurmas[INSTRUTOR],"")</f>
        <v/>
      </c>
      <c r="I171" t="str">
        <f>_xlfn.XLOOKUP(tblAlocacao[[#This Row],[AMBIENTE]],tblAmbientes[NOME_AMBIENTE],tblAmbientes[ID],"")</f>
        <v/>
      </c>
      <c r="K171" t="str">
        <f>_xlfn.XLOOKUP(tblAlocacao[[#This Row],['#VALOR!]],tblTurnos[TURNO],tblTurnos[ID_TURNO],"")</f>
        <v/>
      </c>
      <c r="L171" t="str">
        <f>_xlfn.XLOOKUP(tblAlocacao[[#This Row],[TURMA]],tblTurmas[CODIGO_TURMA],tblTurmas[TURNO],"")</f>
        <v/>
      </c>
      <c r="M171" t="str">
        <f>_xlfn.XLOOKUP(tblAlocacao[[#This Row],[MODALIDADE]], tblModalidades[MODALIDADE], tblModalidades[ID_MODALIDADE],"")</f>
        <v/>
      </c>
      <c r="O171" s="32"/>
      <c r="P171" s="32"/>
      <c r="Q171" s="33" t="e">
        <f>($P171-$O171)-_xlfn.XLOOKUP(tblAlocacao[[#This Row],[TURMA]],tblTurmas[CODIGO_TURMA],tblTurmas[INTERVALO],"")</f>
        <v>#VALUE!</v>
      </c>
    </row>
    <row r="172" spans="1:17" x14ac:dyDescent="0.35">
      <c r="A172">
        <v>171</v>
      </c>
      <c r="B172" s="2"/>
      <c r="C172" t="str">
        <f>_xlfn.XLOOKUP(tblAlocacao[[#This Row],[TURMA]],tblTurmas[CODIGO_TURMA],tblTurmas[ID_TURMA],"")</f>
        <v/>
      </c>
      <c r="E172" t="str">
        <f>_xlfn.XLOOKUP(tblAlocacao[[#This Row],[DISCIPLINA]],tblDisciplinas[NOME_DISCIPLINA],tblDisciplinas[ID_DISCIPLINA],"")</f>
        <v/>
      </c>
      <c r="F172" s="40"/>
      <c r="G172" t="str">
        <f>_xlfn.XLOOKUP(tblAlocacao[[#This Row],[Nome do Instrutor]],tblInstrutores[NOME_COMPLETO],tblInstrutores[ID],"")</f>
        <v/>
      </c>
      <c r="H172" t="str">
        <f>_xlfn.XLOOKUP(tblAlocacao[[#This Row],[TURMA]],tblTurmas[CODIGO_TURMA],tblTurmas[INSTRUTOR],"")</f>
        <v/>
      </c>
      <c r="I172" t="str">
        <f>_xlfn.XLOOKUP(tblAlocacao[[#This Row],[AMBIENTE]],tblAmbientes[NOME_AMBIENTE],tblAmbientes[ID],"")</f>
        <v/>
      </c>
      <c r="K172" t="str">
        <f>_xlfn.XLOOKUP(tblAlocacao[[#This Row],['#VALOR!]],tblTurnos[TURNO],tblTurnos[ID_TURNO],"")</f>
        <v/>
      </c>
      <c r="L172" t="str">
        <f>_xlfn.XLOOKUP(tblAlocacao[[#This Row],[TURMA]],tblTurmas[CODIGO_TURMA],tblTurmas[TURNO],"")</f>
        <v/>
      </c>
      <c r="M172" t="str">
        <f>_xlfn.XLOOKUP(tblAlocacao[[#This Row],[MODALIDADE]], tblModalidades[MODALIDADE], tblModalidades[ID_MODALIDADE],"")</f>
        <v/>
      </c>
      <c r="O172" s="32"/>
      <c r="P172" s="32"/>
      <c r="Q172" s="33" t="e">
        <f>($P172-$O172)-_xlfn.XLOOKUP(tblAlocacao[[#This Row],[TURMA]],tblTurmas[CODIGO_TURMA],tblTurmas[INTERVALO],"")</f>
        <v>#VALUE!</v>
      </c>
    </row>
    <row r="173" spans="1:17" x14ac:dyDescent="0.35">
      <c r="A173">
        <v>172</v>
      </c>
      <c r="B173" s="2"/>
      <c r="C173" t="str">
        <f>_xlfn.XLOOKUP(tblAlocacao[[#This Row],[TURMA]],tblTurmas[CODIGO_TURMA],tblTurmas[ID_TURMA],"")</f>
        <v/>
      </c>
      <c r="E173" t="str">
        <f>_xlfn.XLOOKUP(tblAlocacao[[#This Row],[DISCIPLINA]],tblDisciplinas[NOME_DISCIPLINA],tblDisciplinas[ID_DISCIPLINA],"")</f>
        <v/>
      </c>
      <c r="F173" s="40"/>
      <c r="G173" t="str">
        <f>_xlfn.XLOOKUP(tblAlocacao[[#This Row],[Nome do Instrutor]],tblInstrutores[NOME_COMPLETO],tblInstrutores[ID],"")</f>
        <v/>
      </c>
      <c r="H173" t="str">
        <f>_xlfn.XLOOKUP(tblAlocacao[[#This Row],[TURMA]],tblTurmas[CODIGO_TURMA],tblTurmas[INSTRUTOR],"")</f>
        <v/>
      </c>
      <c r="I173" t="str">
        <f>_xlfn.XLOOKUP(tblAlocacao[[#This Row],[AMBIENTE]],tblAmbientes[NOME_AMBIENTE],tblAmbientes[ID],"")</f>
        <v/>
      </c>
      <c r="K173" t="str">
        <f>_xlfn.XLOOKUP(tblAlocacao[[#This Row],['#VALOR!]],tblTurnos[TURNO],tblTurnos[ID_TURNO],"")</f>
        <v/>
      </c>
      <c r="L173" t="str">
        <f>_xlfn.XLOOKUP(tblAlocacao[[#This Row],[TURMA]],tblTurmas[CODIGO_TURMA],tblTurmas[TURNO],"")</f>
        <v/>
      </c>
      <c r="M173" t="str">
        <f>_xlfn.XLOOKUP(tblAlocacao[[#This Row],[MODALIDADE]], tblModalidades[MODALIDADE], tblModalidades[ID_MODALIDADE],"")</f>
        <v/>
      </c>
      <c r="O173" s="32"/>
      <c r="P173" s="32"/>
      <c r="Q173" s="33" t="e">
        <f>($P173-$O173)-_xlfn.XLOOKUP(tblAlocacao[[#This Row],[TURMA]],tblTurmas[CODIGO_TURMA],tblTurmas[INTERVALO],"")</f>
        <v>#VALUE!</v>
      </c>
    </row>
    <row r="174" spans="1:17" x14ac:dyDescent="0.35">
      <c r="A174">
        <v>173</v>
      </c>
      <c r="B174" s="2"/>
      <c r="C174" t="str">
        <f>_xlfn.XLOOKUP(tblAlocacao[[#This Row],[TURMA]],tblTurmas[CODIGO_TURMA],tblTurmas[ID_TURMA],"")</f>
        <v/>
      </c>
      <c r="E174" t="str">
        <f>_xlfn.XLOOKUP(tblAlocacao[[#This Row],[DISCIPLINA]],tblDisciplinas[NOME_DISCIPLINA],tblDisciplinas[ID_DISCIPLINA],"")</f>
        <v/>
      </c>
      <c r="F174" s="40"/>
      <c r="G174" t="str">
        <f>_xlfn.XLOOKUP(tblAlocacao[[#This Row],[Nome do Instrutor]],tblInstrutores[NOME_COMPLETO],tblInstrutores[ID],"")</f>
        <v/>
      </c>
      <c r="H174" t="str">
        <f>_xlfn.XLOOKUP(tblAlocacao[[#This Row],[TURMA]],tblTurmas[CODIGO_TURMA],tblTurmas[INSTRUTOR],"")</f>
        <v/>
      </c>
      <c r="I174" t="str">
        <f>_xlfn.XLOOKUP(tblAlocacao[[#This Row],[AMBIENTE]],tblAmbientes[NOME_AMBIENTE],tblAmbientes[ID],"")</f>
        <v/>
      </c>
      <c r="K174" t="str">
        <f>_xlfn.XLOOKUP(tblAlocacao[[#This Row],['#VALOR!]],tblTurnos[TURNO],tblTurnos[ID_TURNO],"")</f>
        <v/>
      </c>
      <c r="L174" t="str">
        <f>_xlfn.XLOOKUP(tblAlocacao[[#This Row],[TURMA]],tblTurmas[CODIGO_TURMA],tblTurmas[TURNO],"")</f>
        <v/>
      </c>
      <c r="M174" t="str">
        <f>_xlfn.XLOOKUP(tblAlocacao[[#This Row],[MODALIDADE]], tblModalidades[MODALIDADE], tblModalidades[ID_MODALIDADE],"")</f>
        <v/>
      </c>
      <c r="O174" s="32"/>
      <c r="P174" s="32"/>
      <c r="Q174" s="33" t="e">
        <f>($P174-$O174)-_xlfn.XLOOKUP(tblAlocacao[[#This Row],[TURMA]],tblTurmas[CODIGO_TURMA],tblTurmas[INTERVALO],"")</f>
        <v>#VALUE!</v>
      </c>
    </row>
    <row r="175" spans="1:17" x14ac:dyDescent="0.35">
      <c r="A175">
        <v>174</v>
      </c>
      <c r="B175" s="2"/>
      <c r="C175" t="str">
        <f>_xlfn.XLOOKUP(tblAlocacao[[#This Row],[TURMA]],tblTurmas[CODIGO_TURMA],tblTurmas[ID_TURMA],"")</f>
        <v/>
      </c>
      <c r="E175" t="str">
        <f>_xlfn.XLOOKUP(tblAlocacao[[#This Row],[DISCIPLINA]],tblDisciplinas[NOME_DISCIPLINA],tblDisciplinas[ID_DISCIPLINA],"")</f>
        <v/>
      </c>
      <c r="F175" s="40"/>
      <c r="G175" t="str">
        <f>_xlfn.XLOOKUP(tblAlocacao[[#This Row],[Nome do Instrutor]],tblInstrutores[NOME_COMPLETO],tblInstrutores[ID],"")</f>
        <v/>
      </c>
      <c r="H175" t="str">
        <f>_xlfn.XLOOKUP(tblAlocacao[[#This Row],[TURMA]],tblTurmas[CODIGO_TURMA],tblTurmas[INSTRUTOR],"")</f>
        <v/>
      </c>
      <c r="I175" t="str">
        <f>_xlfn.XLOOKUP(tblAlocacao[[#This Row],[AMBIENTE]],tblAmbientes[NOME_AMBIENTE],tblAmbientes[ID],"")</f>
        <v/>
      </c>
      <c r="K175" t="str">
        <f>_xlfn.XLOOKUP(tblAlocacao[[#This Row],['#VALOR!]],tblTurnos[TURNO],tblTurnos[ID_TURNO],"")</f>
        <v/>
      </c>
      <c r="L175" t="str">
        <f>_xlfn.XLOOKUP(tblAlocacao[[#This Row],[TURMA]],tblTurmas[CODIGO_TURMA],tblTurmas[TURNO],"")</f>
        <v/>
      </c>
      <c r="M175" t="str">
        <f>_xlfn.XLOOKUP(tblAlocacao[[#This Row],[MODALIDADE]], tblModalidades[MODALIDADE], tblModalidades[ID_MODALIDADE],"")</f>
        <v/>
      </c>
      <c r="O175" s="32"/>
      <c r="P175" s="32"/>
      <c r="Q175" s="33" t="e">
        <f>($P175-$O175)-_xlfn.XLOOKUP(tblAlocacao[[#This Row],[TURMA]],tblTurmas[CODIGO_TURMA],tblTurmas[INTERVALO],"")</f>
        <v>#VALUE!</v>
      </c>
    </row>
    <row r="176" spans="1:17" x14ac:dyDescent="0.35">
      <c r="A176">
        <v>175</v>
      </c>
      <c r="B176" s="2"/>
      <c r="C176" t="str">
        <f>_xlfn.XLOOKUP(tblAlocacao[[#This Row],[TURMA]],tblTurmas[CODIGO_TURMA],tblTurmas[ID_TURMA],"")</f>
        <v/>
      </c>
      <c r="E176" t="str">
        <f>_xlfn.XLOOKUP(tblAlocacao[[#This Row],[DISCIPLINA]],tblDisciplinas[NOME_DISCIPLINA],tblDisciplinas[ID_DISCIPLINA],"")</f>
        <v/>
      </c>
      <c r="F176" s="40"/>
      <c r="G176" t="str">
        <f>_xlfn.XLOOKUP(tblAlocacao[[#This Row],[Nome do Instrutor]],tblInstrutores[NOME_COMPLETO],tblInstrutores[ID],"")</f>
        <v/>
      </c>
      <c r="H176" t="str">
        <f>_xlfn.XLOOKUP(tblAlocacao[[#This Row],[TURMA]],tblTurmas[CODIGO_TURMA],tblTurmas[INSTRUTOR],"")</f>
        <v/>
      </c>
      <c r="I176" t="str">
        <f>_xlfn.XLOOKUP(tblAlocacao[[#This Row],[AMBIENTE]],tblAmbientes[NOME_AMBIENTE],tblAmbientes[ID],"")</f>
        <v/>
      </c>
      <c r="K176" t="str">
        <f>_xlfn.XLOOKUP(tblAlocacao[[#This Row],['#VALOR!]],tblTurnos[TURNO],tblTurnos[ID_TURNO],"")</f>
        <v/>
      </c>
      <c r="L176" t="str">
        <f>_xlfn.XLOOKUP(tblAlocacao[[#This Row],[TURMA]],tblTurmas[CODIGO_TURMA],tblTurmas[TURNO],"")</f>
        <v/>
      </c>
      <c r="M176" t="str">
        <f>_xlfn.XLOOKUP(tblAlocacao[[#This Row],[MODALIDADE]], tblModalidades[MODALIDADE], tblModalidades[ID_MODALIDADE],"")</f>
        <v/>
      </c>
      <c r="O176" s="32"/>
      <c r="P176" s="32"/>
      <c r="Q176" s="33" t="e">
        <f>($P176-$O176)-_xlfn.XLOOKUP(tblAlocacao[[#This Row],[TURMA]],tblTurmas[CODIGO_TURMA],tblTurmas[INTERVALO],"")</f>
        <v>#VALUE!</v>
      </c>
    </row>
    <row r="177" spans="1:17" x14ac:dyDescent="0.35">
      <c r="A177">
        <v>176</v>
      </c>
      <c r="B177" s="2"/>
      <c r="C177" t="str">
        <f>_xlfn.XLOOKUP(tblAlocacao[[#This Row],[TURMA]],tblTurmas[CODIGO_TURMA],tblTurmas[ID_TURMA],"")</f>
        <v/>
      </c>
      <c r="E177" t="str">
        <f>_xlfn.XLOOKUP(tblAlocacao[[#This Row],[DISCIPLINA]],tblDisciplinas[NOME_DISCIPLINA],tblDisciplinas[ID_DISCIPLINA],"")</f>
        <v/>
      </c>
      <c r="F177" s="40"/>
      <c r="G177" t="str">
        <f>_xlfn.XLOOKUP(tblAlocacao[[#This Row],[Nome do Instrutor]],tblInstrutores[NOME_COMPLETO],tblInstrutores[ID],"")</f>
        <v/>
      </c>
      <c r="H177" t="str">
        <f>_xlfn.XLOOKUP(tblAlocacao[[#This Row],[TURMA]],tblTurmas[CODIGO_TURMA],tblTurmas[INSTRUTOR],"")</f>
        <v/>
      </c>
      <c r="I177" t="str">
        <f>_xlfn.XLOOKUP(tblAlocacao[[#This Row],[AMBIENTE]],tblAmbientes[NOME_AMBIENTE],tblAmbientes[ID],"")</f>
        <v/>
      </c>
      <c r="K177" t="str">
        <f>_xlfn.XLOOKUP(tblAlocacao[[#This Row],['#VALOR!]],tblTurnos[TURNO],tblTurnos[ID_TURNO],"")</f>
        <v/>
      </c>
      <c r="L177" t="str">
        <f>_xlfn.XLOOKUP(tblAlocacao[[#This Row],[TURMA]],tblTurmas[CODIGO_TURMA],tblTurmas[TURNO],"")</f>
        <v/>
      </c>
      <c r="M177" t="str">
        <f>_xlfn.XLOOKUP(tblAlocacao[[#This Row],[MODALIDADE]], tblModalidades[MODALIDADE], tblModalidades[ID_MODALIDADE],"")</f>
        <v/>
      </c>
      <c r="O177" s="32"/>
      <c r="P177" s="32"/>
      <c r="Q177" s="33" t="e">
        <f>($P177-$O177)-_xlfn.XLOOKUP(tblAlocacao[[#This Row],[TURMA]],tblTurmas[CODIGO_TURMA],tblTurmas[INTERVALO],"")</f>
        <v>#VALUE!</v>
      </c>
    </row>
    <row r="178" spans="1:17" x14ac:dyDescent="0.35">
      <c r="A178">
        <v>177</v>
      </c>
      <c r="B178" s="2"/>
      <c r="C178" t="str">
        <f>_xlfn.XLOOKUP(tblAlocacao[[#This Row],[TURMA]],tblTurmas[CODIGO_TURMA],tblTurmas[ID_TURMA],"")</f>
        <v/>
      </c>
      <c r="E178" t="str">
        <f>_xlfn.XLOOKUP(tblAlocacao[[#This Row],[DISCIPLINA]],tblDisciplinas[NOME_DISCIPLINA],tblDisciplinas[ID_DISCIPLINA],"")</f>
        <v/>
      </c>
      <c r="F178" s="40"/>
      <c r="G178" t="str">
        <f>_xlfn.XLOOKUP(tblAlocacao[[#This Row],[Nome do Instrutor]],tblInstrutores[NOME_COMPLETO],tblInstrutores[ID],"")</f>
        <v/>
      </c>
      <c r="H178" t="str">
        <f>_xlfn.XLOOKUP(tblAlocacao[[#This Row],[TURMA]],tblTurmas[CODIGO_TURMA],tblTurmas[INSTRUTOR],"")</f>
        <v/>
      </c>
      <c r="I178" t="str">
        <f>_xlfn.XLOOKUP(tblAlocacao[[#This Row],[AMBIENTE]],tblAmbientes[NOME_AMBIENTE],tblAmbientes[ID],"")</f>
        <v/>
      </c>
      <c r="K178" t="str">
        <f>_xlfn.XLOOKUP(tblAlocacao[[#This Row],['#VALOR!]],tblTurnos[TURNO],tblTurnos[ID_TURNO],"")</f>
        <v/>
      </c>
      <c r="L178" t="str">
        <f>_xlfn.XLOOKUP(tblAlocacao[[#This Row],[TURMA]],tblTurmas[CODIGO_TURMA],tblTurmas[TURNO],"")</f>
        <v/>
      </c>
      <c r="M178" t="str">
        <f>_xlfn.XLOOKUP(tblAlocacao[[#This Row],[MODALIDADE]], tblModalidades[MODALIDADE], tblModalidades[ID_MODALIDADE],"")</f>
        <v/>
      </c>
      <c r="O178" s="32"/>
      <c r="P178" s="32"/>
      <c r="Q178" s="33" t="e">
        <f>($P178-$O178)-_xlfn.XLOOKUP(tblAlocacao[[#This Row],[TURMA]],tblTurmas[CODIGO_TURMA],tblTurmas[INTERVALO],"")</f>
        <v>#VALUE!</v>
      </c>
    </row>
    <row r="179" spans="1:17" x14ac:dyDescent="0.35">
      <c r="A179">
        <v>178</v>
      </c>
      <c r="B179" s="2"/>
      <c r="C179" t="str">
        <f>_xlfn.XLOOKUP(tblAlocacao[[#This Row],[TURMA]],tblTurmas[CODIGO_TURMA],tblTurmas[ID_TURMA],"")</f>
        <v/>
      </c>
      <c r="E179" t="str">
        <f>_xlfn.XLOOKUP(tblAlocacao[[#This Row],[DISCIPLINA]],tblDisciplinas[NOME_DISCIPLINA],tblDisciplinas[ID_DISCIPLINA],"")</f>
        <v/>
      </c>
      <c r="F179" s="40"/>
      <c r="G179" t="str">
        <f>_xlfn.XLOOKUP(tblAlocacao[[#This Row],[Nome do Instrutor]],tblInstrutores[NOME_COMPLETO],tblInstrutores[ID],"")</f>
        <v/>
      </c>
      <c r="H179" t="str">
        <f>_xlfn.XLOOKUP(tblAlocacao[[#This Row],[TURMA]],tblTurmas[CODIGO_TURMA],tblTurmas[INSTRUTOR],"")</f>
        <v/>
      </c>
      <c r="I179" t="str">
        <f>_xlfn.XLOOKUP(tblAlocacao[[#This Row],[AMBIENTE]],tblAmbientes[NOME_AMBIENTE],tblAmbientes[ID],"")</f>
        <v/>
      </c>
      <c r="K179" t="str">
        <f>_xlfn.XLOOKUP(tblAlocacao[[#This Row],['#VALOR!]],tblTurnos[TURNO],tblTurnos[ID_TURNO],"")</f>
        <v/>
      </c>
      <c r="L179" t="str">
        <f>_xlfn.XLOOKUP(tblAlocacao[[#This Row],[TURMA]],tblTurmas[CODIGO_TURMA],tblTurmas[TURNO],"")</f>
        <v/>
      </c>
      <c r="M179" t="str">
        <f>_xlfn.XLOOKUP(tblAlocacao[[#This Row],[MODALIDADE]], tblModalidades[MODALIDADE], tblModalidades[ID_MODALIDADE],"")</f>
        <v/>
      </c>
      <c r="O179" s="32"/>
      <c r="P179" s="32"/>
      <c r="Q179" s="33" t="e">
        <f>($P179-$O179)-_xlfn.XLOOKUP(tblAlocacao[[#This Row],[TURMA]],tblTurmas[CODIGO_TURMA],tblTurmas[INTERVALO],"")</f>
        <v>#VALUE!</v>
      </c>
    </row>
    <row r="180" spans="1:17" x14ac:dyDescent="0.35">
      <c r="A180">
        <v>179</v>
      </c>
      <c r="B180" s="2"/>
      <c r="C180" t="str">
        <f>_xlfn.XLOOKUP(tblAlocacao[[#This Row],[TURMA]],tblTurmas[CODIGO_TURMA],tblTurmas[ID_TURMA],"")</f>
        <v/>
      </c>
      <c r="E180" t="str">
        <f>_xlfn.XLOOKUP(tblAlocacao[[#This Row],[DISCIPLINA]],tblDisciplinas[NOME_DISCIPLINA],tblDisciplinas[ID_DISCIPLINA],"")</f>
        <v/>
      </c>
      <c r="F180" s="40"/>
      <c r="G180" t="str">
        <f>_xlfn.XLOOKUP(tblAlocacao[[#This Row],[Nome do Instrutor]],tblInstrutores[NOME_COMPLETO],tblInstrutores[ID],"")</f>
        <v/>
      </c>
      <c r="H180" t="str">
        <f>_xlfn.XLOOKUP(tblAlocacao[[#This Row],[TURMA]],tblTurmas[CODIGO_TURMA],tblTurmas[INSTRUTOR],"")</f>
        <v/>
      </c>
      <c r="I180" t="str">
        <f>_xlfn.XLOOKUP(tblAlocacao[[#This Row],[AMBIENTE]],tblAmbientes[NOME_AMBIENTE],tblAmbientes[ID],"")</f>
        <v/>
      </c>
      <c r="K180" t="str">
        <f>_xlfn.XLOOKUP(tblAlocacao[[#This Row],['#VALOR!]],tblTurnos[TURNO],tblTurnos[ID_TURNO],"")</f>
        <v/>
      </c>
      <c r="L180" t="str">
        <f>_xlfn.XLOOKUP(tblAlocacao[[#This Row],[TURMA]],tblTurmas[CODIGO_TURMA],tblTurmas[TURNO],"")</f>
        <v/>
      </c>
      <c r="M180" t="str">
        <f>_xlfn.XLOOKUP(tblAlocacao[[#This Row],[MODALIDADE]], tblModalidades[MODALIDADE], tblModalidades[ID_MODALIDADE],"")</f>
        <v/>
      </c>
      <c r="O180" s="32"/>
      <c r="P180" s="32"/>
      <c r="Q180" s="33" t="e">
        <f>($P180-$O180)-_xlfn.XLOOKUP(tblAlocacao[[#This Row],[TURMA]],tblTurmas[CODIGO_TURMA],tblTurmas[INTERVALO],"")</f>
        <v>#VALUE!</v>
      </c>
    </row>
    <row r="181" spans="1:17" x14ac:dyDescent="0.35">
      <c r="A181">
        <v>180</v>
      </c>
      <c r="B181" s="2"/>
      <c r="C181" t="str">
        <f>_xlfn.XLOOKUP(tblAlocacao[[#This Row],[TURMA]],tblTurmas[CODIGO_TURMA],tblTurmas[ID_TURMA],"")</f>
        <v/>
      </c>
      <c r="E181" t="str">
        <f>_xlfn.XLOOKUP(tblAlocacao[[#This Row],[DISCIPLINA]],tblDisciplinas[NOME_DISCIPLINA],tblDisciplinas[ID_DISCIPLINA],"")</f>
        <v/>
      </c>
      <c r="F181" s="40"/>
      <c r="G181" t="str">
        <f>_xlfn.XLOOKUP(tblAlocacao[[#This Row],[Nome do Instrutor]],tblInstrutores[NOME_COMPLETO],tblInstrutores[ID],"")</f>
        <v/>
      </c>
      <c r="H181" t="str">
        <f>_xlfn.XLOOKUP(tblAlocacao[[#This Row],[TURMA]],tblTurmas[CODIGO_TURMA],tblTurmas[INSTRUTOR],"")</f>
        <v/>
      </c>
      <c r="I181" t="str">
        <f>_xlfn.XLOOKUP(tblAlocacao[[#This Row],[AMBIENTE]],tblAmbientes[NOME_AMBIENTE],tblAmbientes[ID],"")</f>
        <v/>
      </c>
      <c r="K181" t="str">
        <f>_xlfn.XLOOKUP(tblAlocacao[[#This Row],['#VALOR!]],tblTurnos[TURNO],tblTurnos[ID_TURNO],"")</f>
        <v/>
      </c>
      <c r="L181" t="str">
        <f>_xlfn.XLOOKUP(tblAlocacao[[#This Row],[TURMA]],tblTurmas[CODIGO_TURMA],tblTurmas[TURNO],"")</f>
        <v/>
      </c>
      <c r="M181" t="str">
        <f>_xlfn.XLOOKUP(tblAlocacao[[#This Row],[MODALIDADE]], tblModalidades[MODALIDADE], tblModalidades[ID_MODALIDADE],"")</f>
        <v/>
      </c>
      <c r="O181" s="32"/>
      <c r="P181" s="32"/>
      <c r="Q181" s="33" t="e">
        <f>($P181-$O181)-_xlfn.XLOOKUP(tblAlocacao[[#This Row],[TURMA]],tblTurmas[CODIGO_TURMA],tblTurmas[INTERVALO],"")</f>
        <v>#VALUE!</v>
      </c>
    </row>
    <row r="182" spans="1:17" x14ac:dyDescent="0.35">
      <c r="A182">
        <v>181</v>
      </c>
      <c r="B182" s="2"/>
      <c r="C182" t="str">
        <f>_xlfn.XLOOKUP(tblAlocacao[[#This Row],[TURMA]],tblTurmas[CODIGO_TURMA],tblTurmas[ID_TURMA],"")</f>
        <v/>
      </c>
      <c r="E182" t="str">
        <f>_xlfn.XLOOKUP(tblAlocacao[[#This Row],[DISCIPLINA]],tblDisciplinas[NOME_DISCIPLINA],tblDisciplinas[ID_DISCIPLINA],"")</f>
        <v/>
      </c>
      <c r="F182" s="40"/>
      <c r="G182" t="str">
        <f>_xlfn.XLOOKUP(tblAlocacao[[#This Row],[Nome do Instrutor]],tblInstrutores[NOME_COMPLETO],tblInstrutores[ID],"")</f>
        <v/>
      </c>
      <c r="H182" t="str">
        <f>_xlfn.XLOOKUP(tblAlocacao[[#This Row],[TURMA]],tblTurmas[CODIGO_TURMA],tblTurmas[INSTRUTOR],"")</f>
        <v/>
      </c>
      <c r="I182" t="str">
        <f>_xlfn.XLOOKUP(tblAlocacao[[#This Row],[AMBIENTE]],tblAmbientes[NOME_AMBIENTE],tblAmbientes[ID],"")</f>
        <v/>
      </c>
      <c r="K182" t="str">
        <f>_xlfn.XLOOKUP(tblAlocacao[[#This Row],['#VALOR!]],tblTurnos[TURNO],tblTurnos[ID_TURNO],"")</f>
        <v/>
      </c>
      <c r="L182" t="str">
        <f>_xlfn.XLOOKUP(tblAlocacao[[#This Row],[TURMA]],tblTurmas[CODIGO_TURMA],tblTurmas[TURNO],"")</f>
        <v/>
      </c>
      <c r="M182" t="str">
        <f>_xlfn.XLOOKUP(tblAlocacao[[#This Row],[MODALIDADE]], tblModalidades[MODALIDADE], tblModalidades[ID_MODALIDADE],"")</f>
        <v/>
      </c>
      <c r="O182" s="32"/>
      <c r="P182" s="32"/>
      <c r="Q182" s="33" t="e">
        <f>($P182-$O182)-_xlfn.XLOOKUP(tblAlocacao[[#This Row],[TURMA]],tblTurmas[CODIGO_TURMA],tblTurmas[INTERVALO],"")</f>
        <v>#VALUE!</v>
      </c>
    </row>
    <row r="183" spans="1:17" x14ac:dyDescent="0.35">
      <c r="A183">
        <v>182</v>
      </c>
      <c r="B183" s="2"/>
      <c r="C183" t="str">
        <f>_xlfn.XLOOKUP(tblAlocacao[[#This Row],[TURMA]],tblTurmas[CODIGO_TURMA],tblTurmas[ID_TURMA],"")</f>
        <v/>
      </c>
      <c r="E183" t="str">
        <f>_xlfn.XLOOKUP(tblAlocacao[[#This Row],[DISCIPLINA]],tblDisciplinas[NOME_DISCIPLINA],tblDisciplinas[ID_DISCIPLINA],"")</f>
        <v/>
      </c>
      <c r="F183" s="40"/>
      <c r="G183" t="str">
        <f>_xlfn.XLOOKUP(tblAlocacao[[#This Row],[Nome do Instrutor]],tblInstrutores[NOME_COMPLETO],tblInstrutores[ID],"")</f>
        <v/>
      </c>
      <c r="H183" t="str">
        <f>_xlfn.XLOOKUP(tblAlocacao[[#This Row],[TURMA]],tblTurmas[CODIGO_TURMA],tblTurmas[INSTRUTOR],"")</f>
        <v/>
      </c>
      <c r="I183" t="str">
        <f>_xlfn.XLOOKUP(tblAlocacao[[#This Row],[AMBIENTE]],tblAmbientes[NOME_AMBIENTE],tblAmbientes[ID],"")</f>
        <v/>
      </c>
      <c r="K183" t="str">
        <f>_xlfn.XLOOKUP(tblAlocacao[[#This Row],['#VALOR!]],tblTurnos[TURNO],tblTurnos[ID_TURNO],"")</f>
        <v/>
      </c>
      <c r="L183" t="str">
        <f>_xlfn.XLOOKUP(tblAlocacao[[#This Row],[TURMA]],tblTurmas[CODIGO_TURMA],tblTurmas[TURNO],"")</f>
        <v/>
      </c>
      <c r="M183" t="str">
        <f>_xlfn.XLOOKUP(tblAlocacao[[#This Row],[MODALIDADE]], tblModalidades[MODALIDADE], tblModalidades[ID_MODALIDADE],"")</f>
        <v/>
      </c>
      <c r="O183" s="32"/>
      <c r="P183" s="32"/>
      <c r="Q183" s="33" t="e">
        <f>($P183-$O183)-_xlfn.XLOOKUP(tblAlocacao[[#This Row],[TURMA]],tblTurmas[CODIGO_TURMA],tblTurmas[INTERVALO],"")</f>
        <v>#VALUE!</v>
      </c>
    </row>
    <row r="184" spans="1:17" x14ac:dyDescent="0.35">
      <c r="A184">
        <v>183</v>
      </c>
      <c r="B184" s="2"/>
      <c r="C184" t="str">
        <f>_xlfn.XLOOKUP(tblAlocacao[[#This Row],[TURMA]],tblTurmas[CODIGO_TURMA],tblTurmas[ID_TURMA],"")</f>
        <v/>
      </c>
      <c r="E184" t="str">
        <f>_xlfn.XLOOKUP(tblAlocacao[[#This Row],[DISCIPLINA]],tblDisciplinas[NOME_DISCIPLINA],tblDisciplinas[ID_DISCIPLINA],"")</f>
        <v/>
      </c>
      <c r="F184" s="40"/>
      <c r="G184" t="str">
        <f>_xlfn.XLOOKUP(tblAlocacao[[#This Row],[Nome do Instrutor]],tblInstrutores[NOME_COMPLETO],tblInstrutores[ID],"")</f>
        <v/>
      </c>
      <c r="H184" t="str">
        <f>_xlfn.XLOOKUP(tblAlocacao[[#This Row],[TURMA]],tblTurmas[CODIGO_TURMA],tblTurmas[INSTRUTOR],"")</f>
        <v/>
      </c>
      <c r="I184" t="str">
        <f>_xlfn.XLOOKUP(tblAlocacao[[#This Row],[AMBIENTE]],tblAmbientes[NOME_AMBIENTE],tblAmbientes[ID],"")</f>
        <v/>
      </c>
      <c r="K184" t="str">
        <f>_xlfn.XLOOKUP(tblAlocacao[[#This Row],['#VALOR!]],tblTurnos[TURNO],tblTurnos[ID_TURNO],"")</f>
        <v/>
      </c>
      <c r="L184" t="str">
        <f>_xlfn.XLOOKUP(tblAlocacao[[#This Row],[TURMA]],tblTurmas[CODIGO_TURMA],tblTurmas[TURNO],"")</f>
        <v/>
      </c>
      <c r="M184" t="str">
        <f>_xlfn.XLOOKUP(tblAlocacao[[#This Row],[MODALIDADE]], tblModalidades[MODALIDADE], tblModalidades[ID_MODALIDADE],"")</f>
        <v/>
      </c>
      <c r="O184" s="32"/>
      <c r="P184" s="32"/>
      <c r="Q184" s="33" t="e">
        <f>($P184-$O184)-_xlfn.XLOOKUP(tblAlocacao[[#This Row],[TURMA]],tblTurmas[CODIGO_TURMA],tblTurmas[INTERVALO],"")</f>
        <v>#VALUE!</v>
      </c>
    </row>
    <row r="185" spans="1:17" x14ac:dyDescent="0.35">
      <c r="A185">
        <v>184</v>
      </c>
      <c r="B185" s="2"/>
      <c r="C185" t="str">
        <f>_xlfn.XLOOKUP(tblAlocacao[[#This Row],[TURMA]],tblTurmas[CODIGO_TURMA],tblTurmas[ID_TURMA],"")</f>
        <v/>
      </c>
      <c r="E185" t="str">
        <f>_xlfn.XLOOKUP(tblAlocacao[[#This Row],[DISCIPLINA]],tblDisciplinas[NOME_DISCIPLINA],tblDisciplinas[ID_DISCIPLINA],"")</f>
        <v/>
      </c>
      <c r="F185" s="40"/>
      <c r="G185" t="str">
        <f>_xlfn.XLOOKUP(tblAlocacao[[#This Row],[Nome do Instrutor]],tblInstrutores[NOME_COMPLETO],tblInstrutores[ID],"")</f>
        <v/>
      </c>
      <c r="H185" t="str">
        <f>_xlfn.XLOOKUP(tblAlocacao[[#This Row],[TURMA]],tblTurmas[CODIGO_TURMA],tblTurmas[INSTRUTOR],"")</f>
        <v/>
      </c>
      <c r="I185" t="str">
        <f>_xlfn.XLOOKUP(tblAlocacao[[#This Row],[AMBIENTE]],tblAmbientes[NOME_AMBIENTE],tblAmbientes[ID],"")</f>
        <v/>
      </c>
      <c r="K185" t="str">
        <f>_xlfn.XLOOKUP(tblAlocacao[[#This Row],['#VALOR!]],tblTurnos[TURNO],tblTurnos[ID_TURNO],"")</f>
        <v/>
      </c>
      <c r="L185" t="str">
        <f>_xlfn.XLOOKUP(tblAlocacao[[#This Row],[TURMA]],tblTurmas[CODIGO_TURMA],tblTurmas[TURNO],"")</f>
        <v/>
      </c>
      <c r="M185" t="str">
        <f>_xlfn.XLOOKUP(tblAlocacao[[#This Row],[MODALIDADE]], tblModalidades[MODALIDADE], tblModalidades[ID_MODALIDADE],"")</f>
        <v/>
      </c>
      <c r="O185" s="32"/>
      <c r="P185" s="32"/>
      <c r="Q185" s="33" t="e">
        <f>($P185-$O185)-_xlfn.XLOOKUP(tblAlocacao[[#This Row],[TURMA]],tblTurmas[CODIGO_TURMA],tblTurmas[INTERVALO],"")</f>
        <v>#VALUE!</v>
      </c>
    </row>
    <row r="186" spans="1:17" x14ac:dyDescent="0.35">
      <c r="A186">
        <v>185</v>
      </c>
      <c r="B186" s="2"/>
      <c r="C186" t="str">
        <f>_xlfn.XLOOKUP(tblAlocacao[[#This Row],[TURMA]],tblTurmas[CODIGO_TURMA],tblTurmas[ID_TURMA],"")</f>
        <v/>
      </c>
      <c r="E186" t="str">
        <f>_xlfn.XLOOKUP(tblAlocacao[[#This Row],[DISCIPLINA]],tblDisciplinas[NOME_DISCIPLINA],tblDisciplinas[ID_DISCIPLINA],"")</f>
        <v/>
      </c>
      <c r="F186" s="40"/>
      <c r="G186" t="str">
        <f>_xlfn.XLOOKUP(tblAlocacao[[#This Row],[Nome do Instrutor]],tblInstrutores[NOME_COMPLETO],tblInstrutores[ID],"")</f>
        <v/>
      </c>
      <c r="H186" t="str">
        <f>_xlfn.XLOOKUP(tblAlocacao[[#This Row],[TURMA]],tblTurmas[CODIGO_TURMA],tblTurmas[INSTRUTOR],"")</f>
        <v/>
      </c>
      <c r="I186" t="str">
        <f>_xlfn.XLOOKUP(tblAlocacao[[#This Row],[AMBIENTE]],tblAmbientes[NOME_AMBIENTE],tblAmbientes[ID],"")</f>
        <v/>
      </c>
      <c r="K186" t="str">
        <f>_xlfn.XLOOKUP(tblAlocacao[[#This Row],['#VALOR!]],tblTurnos[TURNO],tblTurnos[ID_TURNO],"")</f>
        <v/>
      </c>
      <c r="L186" t="str">
        <f>_xlfn.XLOOKUP(tblAlocacao[[#This Row],[TURMA]],tblTurmas[CODIGO_TURMA],tblTurmas[TURNO],"")</f>
        <v/>
      </c>
      <c r="M186" t="str">
        <f>_xlfn.XLOOKUP(tblAlocacao[[#This Row],[MODALIDADE]], tblModalidades[MODALIDADE], tblModalidades[ID_MODALIDADE],"")</f>
        <v/>
      </c>
      <c r="O186" s="32"/>
      <c r="P186" s="32"/>
      <c r="Q186" s="33" t="e">
        <f>($P186-$O186)-_xlfn.XLOOKUP(tblAlocacao[[#This Row],[TURMA]],tblTurmas[CODIGO_TURMA],tblTurmas[INTERVALO],"")</f>
        <v>#VALUE!</v>
      </c>
    </row>
    <row r="187" spans="1:17" x14ac:dyDescent="0.35">
      <c r="A187">
        <v>186</v>
      </c>
      <c r="B187" s="2"/>
      <c r="C187" t="str">
        <f>_xlfn.XLOOKUP(tblAlocacao[[#This Row],[TURMA]],tblTurmas[CODIGO_TURMA],tblTurmas[ID_TURMA],"")</f>
        <v/>
      </c>
      <c r="E187" t="str">
        <f>_xlfn.XLOOKUP(tblAlocacao[[#This Row],[DISCIPLINA]],tblDisciplinas[NOME_DISCIPLINA],tblDisciplinas[ID_DISCIPLINA],"")</f>
        <v/>
      </c>
      <c r="F187" s="40"/>
      <c r="G187" t="str">
        <f>_xlfn.XLOOKUP(tblAlocacao[[#This Row],[Nome do Instrutor]],tblInstrutores[NOME_COMPLETO],tblInstrutores[ID],"")</f>
        <v/>
      </c>
      <c r="H187" t="str">
        <f>_xlfn.XLOOKUP(tblAlocacao[[#This Row],[TURMA]],tblTurmas[CODIGO_TURMA],tblTurmas[INSTRUTOR],"")</f>
        <v/>
      </c>
      <c r="I187" t="str">
        <f>_xlfn.XLOOKUP(tblAlocacao[[#This Row],[AMBIENTE]],tblAmbientes[NOME_AMBIENTE],tblAmbientes[ID],"")</f>
        <v/>
      </c>
      <c r="K187" t="str">
        <f>_xlfn.XLOOKUP(tblAlocacao[[#This Row],['#VALOR!]],tblTurnos[TURNO],tblTurnos[ID_TURNO],"")</f>
        <v/>
      </c>
      <c r="L187" t="str">
        <f>_xlfn.XLOOKUP(tblAlocacao[[#This Row],[TURMA]],tblTurmas[CODIGO_TURMA],tblTurmas[TURNO],"")</f>
        <v/>
      </c>
      <c r="M187" t="str">
        <f>_xlfn.XLOOKUP(tblAlocacao[[#This Row],[MODALIDADE]], tblModalidades[MODALIDADE], tblModalidades[ID_MODALIDADE],"")</f>
        <v/>
      </c>
      <c r="O187" s="32"/>
      <c r="P187" s="32"/>
      <c r="Q187" s="33" t="e">
        <f>($P187-$O187)-_xlfn.XLOOKUP(tblAlocacao[[#This Row],[TURMA]],tblTurmas[CODIGO_TURMA],tblTurmas[INTERVALO],"")</f>
        <v>#VALUE!</v>
      </c>
    </row>
    <row r="188" spans="1:17" x14ac:dyDescent="0.35">
      <c r="A188">
        <v>187</v>
      </c>
      <c r="B188" s="2"/>
      <c r="C188" t="str">
        <f>_xlfn.XLOOKUP(tblAlocacao[[#This Row],[TURMA]],tblTurmas[CODIGO_TURMA],tblTurmas[ID_TURMA],"")</f>
        <v/>
      </c>
      <c r="E188" t="str">
        <f>_xlfn.XLOOKUP(tblAlocacao[[#This Row],[DISCIPLINA]],tblDisciplinas[NOME_DISCIPLINA],tblDisciplinas[ID_DISCIPLINA],"")</f>
        <v/>
      </c>
      <c r="F188" s="40"/>
      <c r="G188" t="str">
        <f>_xlfn.XLOOKUP(tblAlocacao[[#This Row],[Nome do Instrutor]],tblInstrutores[NOME_COMPLETO],tblInstrutores[ID],"")</f>
        <v/>
      </c>
      <c r="H188" t="str">
        <f>_xlfn.XLOOKUP(tblAlocacao[[#This Row],[TURMA]],tblTurmas[CODIGO_TURMA],tblTurmas[INSTRUTOR],"")</f>
        <v/>
      </c>
      <c r="I188" t="str">
        <f>_xlfn.XLOOKUP(tblAlocacao[[#This Row],[AMBIENTE]],tblAmbientes[NOME_AMBIENTE],tblAmbientes[ID],"")</f>
        <v/>
      </c>
      <c r="K188" t="str">
        <f>_xlfn.XLOOKUP(tblAlocacao[[#This Row],['#VALOR!]],tblTurnos[TURNO],tblTurnos[ID_TURNO],"")</f>
        <v/>
      </c>
      <c r="L188" t="str">
        <f>_xlfn.XLOOKUP(tblAlocacao[[#This Row],[TURMA]],tblTurmas[CODIGO_TURMA],tblTurmas[TURNO],"")</f>
        <v/>
      </c>
      <c r="M188" t="str">
        <f>_xlfn.XLOOKUP(tblAlocacao[[#This Row],[MODALIDADE]], tblModalidades[MODALIDADE], tblModalidades[ID_MODALIDADE],"")</f>
        <v/>
      </c>
      <c r="O188" s="32"/>
      <c r="P188" s="32"/>
      <c r="Q188" s="33" t="e">
        <f>($P188-$O188)-_xlfn.XLOOKUP(tblAlocacao[[#This Row],[TURMA]],tblTurmas[CODIGO_TURMA],tblTurmas[INTERVALO],"")</f>
        <v>#VALUE!</v>
      </c>
    </row>
    <row r="189" spans="1:17" x14ac:dyDescent="0.35">
      <c r="A189">
        <v>188</v>
      </c>
      <c r="B189" s="2"/>
      <c r="C189" t="str">
        <f>_xlfn.XLOOKUP(tblAlocacao[[#This Row],[TURMA]],tblTurmas[CODIGO_TURMA],tblTurmas[ID_TURMA],"")</f>
        <v/>
      </c>
      <c r="E189" t="str">
        <f>_xlfn.XLOOKUP(tblAlocacao[[#This Row],[DISCIPLINA]],tblDisciplinas[NOME_DISCIPLINA],tblDisciplinas[ID_DISCIPLINA],"")</f>
        <v/>
      </c>
      <c r="F189" s="40"/>
      <c r="G189" t="str">
        <f>_xlfn.XLOOKUP(tblAlocacao[[#This Row],[Nome do Instrutor]],tblInstrutores[NOME_COMPLETO],tblInstrutores[ID],"")</f>
        <v/>
      </c>
      <c r="H189" t="str">
        <f>_xlfn.XLOOKUP(tblAlocacao[[#This Row],[TURMA]],tblTurmas[CODIGO_TURMA],tblTurmas[INSTRUTOR],"")</f>
        <v/>
      </c>
      <c r="I189" t="str">
        <f>_xlfn.XLOOKUP(tblAlocacao[[#This Row],[AMBIENTE]],tblAmbientes[NOME_AMBIENTE],tblAmbientes[ID],"")</f>
        <v/>
      </c>
      <c r="K189" t="str">
        <f>_xlfn.XLOOKUP(tblAlocacao[[#This Row],['#VALOR!]],tblTurnos[TURNO],tblTurnos[ID_TURNO],"")</f>
        <v/>
      </c>
      <c r="L189" t="str">
        <f>_xlfn.XLOOKUP(tblAlocacao[[#This Row],[TURMA]],tblTurmas[CODIGO_TURMA],tblTurmas[TURNO],"")</f>
        <v/>
      </c>
      <c r="M189" t="str">
        <f>_xlfn.XLOOKUP(tblAlocacao[[#This Row],[MODALIDADE]], tblModalidades[MODALIDADE], tblModalidades[ID_MODALIDADE],"")</f>
        <v/>
      </c>
      <c r="O189" s="32"/>
      <c r="P189" s="32"/>
      <c r="Q189" s="33" t="e">
        <f>($P189-$O189)-_xlfn.XLOOKUP(tblAlocacao[[#This Row],[TURMA]],tblTurmas[CODIGO_TURMA],tblTurmas[INTERVALO],"")</f>
        <v>#VALUE!</v>
      </c>
    </row>
    <row r="190" spans="1:17" x14ac:dyDescent="0.35">
      <c r="A190">
        <v>189</v>
      </c>
      <c r="B190" s="2"/>
      <c r="C190" t="str">
        <f>_xlfn.XLOOKUP(tblAlocacao[[#This Row],[TURMA]],tblTurmas[CODIGO_TURMA],tblTurmas[ID_TURMA],"")</f>
        <v/>
      </c>
      <c r="E190" t="str">
        <f>_xlfn.XLOOKUP(tblAlocacao[[#This Row],[DISCIPLINA]],tblDisciplinas[NOME_DISCIPLINA],tblDisciplinas[ID_DISCIPLINA],"")</f>
        <v/>
      </c>
      <c r="F190" s="40"/>
      <c r="G190" t="str">
        <f>_xlfn.XLOOKUP(tblAlocacao[[#This Row],[Nome do Instrutor]],tblInstrutores[NOME_COMPLETO],tblInstrutores[ID],"")</f>
        <v/>
      </c>
      <c r="H190" t="str">
        <f>_xlfn.XLOOKUP(tblAlocacao[[#This Row],[TURMA]],tblTurmas[CODIGO_TURMA],tblTurmas[INSTRUTOR],"")</f>
        <v/>
      </c>
      <c r="I190" t="str">
        <f>_xlfn.XLOOKUP(tblAlocacao[[#This Row],[AMBIENTE]],tblAmbientes[NOME_AMBIENTE],tblAmbientes[ID],"")</f>
        <v/>
      </c>
      <c r="K190" t="str">
        <f>_xlfn.XLOOKUP(tblAlocacao[[#This Row],['#VALOR!]],tblTurnos[TURNO],tblTurnos[ID_TURNO],"")</f>
        <v/>
      </c>
      <c r="L190" t="str">
        <f>_xlfn.XLOOKUP(tblAlocacao[[#This Row],[TURMA]],tblTurmas[CODIGO_TURMA],tblTurmas[TURNO],"")</f>
        <v/>
      </c>
      <c r="M190" t="str">
        <f>_xlfn.XLOOKUP(tblAlocacao[[#This Row],[MODALIDADE]], tblModalidades[MODALIDADE], tblModalidades[ID_MODALIDADE],"")</f>
        <v/>
      </c>
      <c r="O190" s="32"/>
      <c r="P190" s="32"/>
      <c r="Q190" s="33" t="e">
        <f>($P190-$O190)-_xlfn.XLOOKUP(tblAlocacao[[#This Row],[TURMA]],tblTurmas[CODIGO_TURMA],tblTurmas[INTERVALO],"")</f>
        <v>#VALUE!</v>
      </c>
    </row>
    <row r="191" spans="1:17" x14ac:dyDescent="0.35">
      <c r="A191">
        <v>190</v>
      </c>
      <c r="B191" s="2"/>
      <c r="C191" t="str">
        <f>_xlfn.XLOOKUP(tblAlocacao[[#This Row],[TURMA]],tblTurmas[CODIGO_TURMA],tblTurmas[ID_TURMA],"")</f>
        <v/>
      </c>
      <c r="E191" t="str">
        <f>_xlfn.XLOOKUP(tblAlocacao[[#This Row],[DISCIPLINA]],tblDisciplinas[NOME_DISCIPLINA],tblDisciplinas[ID_DISCIPLINA],"")</f>
        <v/>
      </c>
      <c r="F191" s="40"/>
      <c r="G191" t="str">
        <f>_xlfn.XLOOKUP(tblAlocacao[[#This Row],[Nome do Instrutor]],tblInstrutores[NOME_COMPLETO],tblInstrutores[ID],"")</f>
        <v/>
      </c>
      <c r="H191" t="str">
        <f>_xlfn.XLOOKUP(tblAlocacao[[#This Row],[TURMA]],tblTurmas[CODIGO_TURMA],tblTurmas[INSTRUTOR],"")</f>
        <v/>
      </c>
      <c r="I191" t="str">
        <f>_xlfn.XLOOKUP(tblAlocacao[[#This Row],[AMBIENTE]],tblAmbientes[NOME_AMBIENTE],tblAmbientes[ID],"")</f>
        <v/>
      </c>
      <c r="K191" t="str">
        <f>_xlfn.XLOOKUP(tblAlocacao[[#This Row],['#VALOR!]],tblTurnos[TURNO],tblTurnos[ID_TURNO],"")</f>
        <v/>
      </c>
      <c r="L191" t="str">
        <f>_xlfn.XLOOKUP(tblAlocacao[[#This Row],[TURMA]],tblTurmas[CODIGO_TURMA],tblTurmas[TURNO],"")</f>
        <v/>
      </c>
      <c r="M191" t="str">
        <f>_xlfn.XLOOKUP(tblAlocacao[[#This Row],[MODALIDADE]], tblModalidades[MODALIDADE], tblModalidades[ID_MODALIDADE],"")</f>
        <v/>
      </c>
      <c r="O191" s="32"/>
      <c r="P191" s="32"/>
      <c r="Q191" s="33" t="e">
        <f>($P191-$O191)-_xlfn.XLOOKUP(tblAlocacao[[#This Row],[TURMA]],tblTurmas[CODIGO_TURMA],tblTurmas[INTERVALO],"")</f>
        <v>#VALUE!</v>
      </c>
    </row>
    <row r="192" spans="1:17" x14ac:dyDescent="0.35">
      <c r="A192">
        <v>191</v>
      </c>
      <c r="B192" s="2"/>
      <c r="C192" t="str">
        <f>_xlfn.XLOOKUP(tblAlocacao[[#This Row],[TURMA]],tblTurmas[CODIGO_TURMA],tblTurmas[ID_TURMA],"")</f>
        <v/>
      </c>
      <c r="E192" t="str">
        <f>_xlfn.XLOOKUP(tblAlocacao[[#This Row],[DISCIPLINA]],tblDisciplinas[NOME_DISCIPLINA],tblDisciplinas[ID_DISCIPLINA],"")</f>
        <v/>
      </c>
      <c r="F192" s="40"/>
      <c r="G192" t="str">
        <f>_xlfn.XLOOKUP(tblAlocacao[[#This Row],[Nome do Instrutor]],tblInstrutores[NOME_COMPLETO],tblInstrutores[ID],"")</f>
        <v/>
      </c>
      <c r="H192" t="str">
        <f>_xlfn.XLOOKUP(tblAlocacao[[#This Row],[TURMA]],tblTurmas[CODIGO_TURMA],tblTurmas[INSTRUTOR],"")</f>
        <v/>
      </c>
      <c r="I192" t="str">
        <f>_xlfn.XLOOKUP(tblAlocacao[[#This Row],[AMBIENTE]],tblAmbientes[NOME_AMBIENTE],tblAmbientes[ID],"")</f>
        <v/>
      </c>
      <c r="K192" t="str">
        <f>_xlfn.XLOOKUP(tblAlocacao[[#This Row],['#VALOR!]],tblTurnos[TURNO],tblTurnos[ID_TURNO],"")</f>
        <v/>
      </c>
      <c r="L192" t="str">
        <f>_xlfn.XLOOKUP(tblAlocacao[[#This Row],[TURMA]],tblTurmas[CODIGO_TURMA],tblTurmas[TURNO],"")</f>
        <v/>
      </c>
      <c r="M192" t="str">
        <f>_xlfn.XLOOKUP(tblAlocacao[[#This Row],[MODALIDADE]], tblModalidades[MODALIDADE], tblModalidades[ID_MODALIDADE],"")</f>
        <v/>
      </c>
      <c r="O192" s="32"/>
      <c r="P192" s="32"/>
      <c r="Q192" s="33" t="e">
        <f>($P192-$O192)-_xlfn.XLOOKUP(tblAlocacao[[#This Row],[TURMA]],tblTurmas[CODIGO_TURMA],tblTurmas[INTERVALO],"")</f>
        <v>#VALUE!</v>
      </c>
    </row>
    <row r="193" spans="1:17" x14ac:dyDescent="0.35">
      <c r="A193">
        <v>192</v>
      </c>
      <c r="B193" s="2"/>
      <c r="C193" t="str">
        <f>_xlfn.XLOOKUP(tblAlocacao[[#This Row],[TURMA]],tblTurmas[CODIGO_TURMA],tblTurmas[ID_TURMA],"")</f>
        <v/>
      </c>
      <c r="E193" t="str">
        <f>_xlfn.XLOOKUP(tblAlocacao[[#This Row],[DISCIPLINA]],tblDisciplinas[NOME_DISCIPLINA],tblDisciplinas[ID_DISCIPLINA],"")</f>
        <v/>
      </c>
      <c r="F193" s="40"/>
      <c r="G193" t="str">
        <f>_xlfn.XLOOKUP(tblAlocacao[[#This Row],[Nome do Instrutor]],tblInstrutores[NOME_COMPLETO],tblInstrutores[ID],"")</f>
        <v/>
      </c>
      <c r="H193" t="str">
        <f>_xlfn.XLOOKUP(tblAlocacao[[#This Row],[TURMA]],tblTurmas[CODIGO_TURMA],tblTurmas[INSTRUTOR],"")</f>
        <v/>
      </c>
      <c r="I193" t="str">
        <f>_xlfn.XLOOKUP(tblAlocacao[[#This Row],[AMBIENTE]],tblAmbientes[NOME_AMBIENTE],tblAmbientes[ID],"")</f>
        <v/>
      </c>
      <c r="K193" t="str">
        <f>_xlfn.XLOOKUP(tblAlocacao[[#This Row],['#VALOR!]],tblTurnos[TURNO],tblTurnos[ID_TURNO],"")</f>
        <v/>
      </c>
      <c r="L193" t="str">
        <f>_xlfn.XLOOKUP(tblAlocacao[[#This Row],[TURMA]],tblTurmas[CODIGO_TURMA],tblTurmas[TURNO],"")</f>
        <v/>
      </c>
      <c r="M193" t="str">
        <f>_xlfn.XLOOKUP(tblAlocacao[[#This Row],[MODALIDADE]], tblModalidades[MODALIDADE], tblModalidades[ID_MODALIDADE],"")</f>
        <v/>
      </c>
      <c r="O193" s="32"/>
      <c r="P193" s="32"/>
      <c r="Q193" s="33" t="e">
        <f>($P193-$O193)-_xlfn.XLOOKUP(tblAlocacao[[#This Row],[TURMA]],tblTurmas[CODIGO_TURMA],tblTurmas[INTERVALO],"")</f>
        <v>#VALUE!</v>
      </c>
    </row>
    <row r="194" spans="1:17" x14ac:dyDescent="0.35">
      <c r="A194">
        <v>193</v>
      </c>
      <c r="B194" s="2"/>
      <c r="C194" t="str">
        <f>_xlfn.XLOOKUP(tblAlocacao[[#This Row],[TURMA]],tblTurmas[CODIGO_TURMA],tblTurmas[ID_TURMA],"")</f>
        <v/>
      </c>
      <c r="E194" t="str">
        <f>_xlfn.XLOOKUP(tblAlocacao[[#This Row],[DISCIPLINA]],tblDisciplinas[NOME_DISCIPLINA],tblDisciplinas[ID_DISCIPLINA],"")</f>
        <v/>
      </c>
      <c r="F194" s="40"/>
      <c r="G194" t="str">
        <f>_xlfn.XLOOKUP(tblAlocacao[[#This Row],[Nome do Instrutor]],tblInstrutores[NOME_COMPLETO],tblInstrutores[ID],"")</f>
        <v/>
      </c>
      <c r="H194" t="str">
        <f>_xlfn.XLOOKUP(tblAlocacao[[#This Row],[TURMA]],tblTurmas[CODIGO_TURMA],tblTurmas[INSTRUTOR],"")</f>
        <v/>
      </c>
      <c r="I194" t="str">
        <f>_xlfn.XLOOKUP(tblAlocacao[[#This Row],[AMBIENTE]],tblAmbientes[NOME_AMBIENTE],tblAmbientes[ID],"")</f>
        <v/>
      </c>
      <c r="K194" t="str">
        <f>_xlfn.XLOOKUP(tblAlocacao[[#This Row],['#VALOR!]],tblTurnos[TURNO],tblTurnos[ID_TURNO],"")</f>
        <v/>
      </c>
      <c r="L194" t="str">
        <f>_xlfn.XLOOKUP(tblAlocacao[[#This Row],[TURMA]],tblTurmas[CODIGO_TURMA],tblTurmas[TURNO],"")</f>
        <v/>
      </c>
      <c r="M194" t="str">
        <f>_xlfn.XLOOKUP(tblAlocacao[[#This Row],[MODALIDADE]], tblModalidades[MODALIDADE], tblModalidades[ID_MODALIDADE],"")</f>
        <v/>
      </c>
      <c r="O194" s="32"/>
      <c r="P194" s="32"/>
      <c r="Q194" s="33" t="e">
        <f>($P194-$O194)-_xlfn.XLOOKUP(tblAlocacao[[#This Row],[TURMA]],tblTurmas[CODIGO_TURMA],tblTurmas[INTERVALO],"")</f>
        <v>#VALUE!</v>
      </c>
    </row>
    <row r="195" spans="1:17" x14ac:dyDescent="0.35">
      <c r="A195">
        <v>194</v>
      </c>
      <c r="B195" s="2"/>
      <c r="C195" t="str">
        <f>_xlfn.XLOOKUP(tblAlocacao[[#This Row],[TURMA]],tblTurmas[CODIGO_TURMA],tblTurmas[ID_TURMA],"")</f>
        <v/>
      </c>
      <c r="E195" t="str">
        <f>_xlfn.XLOOKUP(tblAlocacao[[#This Row],[DISCIPLINA]],tblDisciplinas[NOME_DISCIPLINA],tblDisciplinas[ID_DISCIPLINA],"")</f>
        <v/>
      </c>
      <c r="F195" s="40"/>
      <c r="G195" t="str">
        <f>_xlfn.XLOOKUP(tblAlocacao[[#This Row],[Nome do Instrutor]],tblInstrutores[NOME_COMPLETO],tblInstrutores[ID],"")</f>
        <v/>
      </c>
      <c r="H195" t="str">
        <f>_xlfn.XLOOKUP(tblAlocacao[[#This Row],[TURMA]],tblTurmas[CODIGO_TURMA],tblTurmas[INSTRUTOR],"")</f>
        <v/>
      </c>
      <c r="I195" t="str">
        <f>_xlfn.XLOOKUP(tblAlocacao[[#This Row],[AMBIENTE]],tblAmbientes[NOME_AMBIENTE],tblAmbientes[ID],"")</f>
        <v/>
      </c>
      <c r="K195" t="str">
        <f>_xlfn.XLOOKUP(tblAlocacao[[#This Row],['#VALOR!]],tblTurnos[TURNO],tblTurnos[ID_TURNO],"")</f>
        <v/>
      </c>
      <c r="L195" t="str">
        <f>_xlfn.XLOOKUP(tblAlocacao[[#This Row],[TURMA]],tblTurmas[CODIGO_TURMA],tblTurmas[TURNO],"")</f>
        <v/>
      </c>
      <c r="M195" t="str">
        <f>_xlfn.XLOOKUP(tblAlocacao[[#This Row],[MODALIDADE]], tblModalidades[MODALIDADE], tblModalidades[ID_MODALIDADE],"")</f>
        <v/>
      </c>
      <c r="O195" s="32"/>
      <c r="P195" s="32"/>
      <c r="Q195" s="33" t="e">
        <f>($P195-$O195)-_xlfn.XLOOKUP(tblAlocacao[[#This Row],[TURMA]],tblTurmas[CODIGO_TURMA],tblTurmas[INTERVALO],"")</f>
        <v>#VALUE!</v>
      </c>
    </row>
    <row r="196" spans="1:17" x14ac:dyDescent="0.35">
      <c r="A196">
        <v>195</v>
      </c>
      <c r="B196" s="2"/>
      <c r="C196" t="str">
        <f>_xlfn.XLOOKUP(tblAlocacao[[#This Row],[TURMA]],tblTurmas[CODIGO_TURMA],tblTurmas[ID_TURMA],"")</f>
        <v/>
      </c>
      <c r="E196" t="str">
        <f>_xlfn.XLOOKUP(tblAlocacao[[#This Row],[DISCIPLINA]],tblDisciplinas[NOME_DISCIPLINA],tblDisciplinas[ID_DISCIPLINA],"")</f>
        <v/>
      </c>
      <c r="F196" s="40"/>
      <c r="G196" t="str">
        <f>_xlfn.XLOOKUP(tblAlocacao[[#This Row],[Nome do Instrutor]],tblInstrutores[NOME_COMPLETO],tblInstrutores[ID],"")</f>
        <v/>
      </c>
      <c r="H196" t="str">
        <f>_xlfn.XLOOKUP(tblAlocacao[[#This Row],[TURMA]],tblTurmas[CODIGO_TURMA],tblTurmas[INSTRUTOR],"")</f>
        <v/>
      </c>
      <c r="I196" t="str">
        <f>_xlfn.XLOOKUP(tblAlocacao[[#This Row],[AMBIENTE]],tblAmbientes[NOME_AMBIENTE],tblAmbientes[ID],"")</f>
        <v/>
      </c>
      <c r="K196" t="str">
        <f>_xlfn.XLOOKUP(tblAlocacao[[#This Row],['#VALOR!]],tblTurnos[TURNO],tblTurnos[ID_TURNO],"")</f>
        <v/>
      </c>
      <c r="L196" t="str">
        <f>_xlfn.XLOOKUP(tblAlocacao[[#This Row],[TURMA]],tblTurmas[CODIGO_TURMA],tblTurmas[TURNO],"")</f>
        <v/>
      </c>
      <c r="M196" t="str">
        <f>_xlfn.XLOOKUP(tblAlocacao[[#This Row],[MODALIDADE]], tblModalidades[MODALIDADE], tblModalidades[ID_MODALIDADE],"")</f>
        <v/>
      </c>
      <c r="O196" s="32"/>
      <c r="P196" s="32"/>
      <c r="Q196" s="33" t="e">
        <f>($P196-$O196)-_xlfn.XLOOKUP(tblAlocacao[[#This Row],[TURMA]],tblTurmas[CODIGO_TURMA],tblTurmas[INTERVALO],"")</f>
        <v>#VALUE!</v>
      </c>
    </row>
    <row r="197" spans="1:17" x14ac:dyDescent="0.35">
      <c r="A197">
        <v>196</v>
      </c>
      <c r="B197" s="2"/>
      <c r="C197" t="str">
        <f>_xlfn.XLOOKUP(tblAlocacao[[#This Row],[TURMA]],tblTurmas[CODIGO_TURMA],tblTurmas[ID_TURMA],"")</f>
        <v/>
      </c>
      <c r="E197" t="str">
        <f>_xlfn.XLOOKUP(tblAlocacao[[#This Row],[DISCIPLINA]],tblDisciplinas[NOME_DISCIPLINA],tblDisciplinas[ID_DISCIPLINA],"")</f>
        <v/>
      </c>
      <c r="F197" s="40"/>
      <c r="G197" t="str">
        <f>_xlfn.XLOOKUP(tblAlocacao[[#This Row],[Nome do Instrutor]],tblInstrutores[NOME_COMPLETO],tblInstrutores[ID],"")</f>
        <v/>
      </c>
      <c r="H197" t="str">
        <f>_xlfn.XLOOKUP(tblAlocacao[[#This Row],[TURMA]],tblTurmas[CODIGO_TURMA],tblTurmas[INSTRUTOR],"")</f>
        <v/>
      </c>
      <c r="I197" t="str">
        <f>_xlfn.XLOOKUP(tblAlocacao[[#This Row],[AMBIENTE]],tblAmbientes[NOME_AMBIENTE],tblAmbientes[ID],"")</f>
        <v/>
      </c>
      <c r="K197" t="str">
        <f>_xlfn.XLOOKUP(tblAlocacao[[#This Row],['#VALOR!]],tblTurnos[TURNO],tblTurnos[ID_TURNO],"")</f>
        <v/>
      </c>
      <c r="L197" t="str">
        <f>_xlfn.XLOOKUP(tblAlocacao[[#This Row],[TURMA]],tblTurmas[CODIGO_TURMA],tblTurmas[TURNO],"")</f>
        <v/>
      </c>
      <c r="M197" t="str">
        <f>_xlfn.XLOOKUP(tblAlocacao[[#This Row],[MODALIDADE]], tblModalidades[MODALIDADE], tblModalidades[ID_MODALIDADE],"")</f>
        <v/>
      </c>
      <c r="O197" s="32"/>
      <c r="P197" s="32"/>
      <c r="Q197" s="33" t="e">
        <f>($P197-$O197)-_xlfn.XLOOKUP(tblAlocacao[[#This Row],[TURMA]],tblTurmas[CODIGO_TURMA],tblTurmas[INTERVALO],"")</f>
        <v>#VALUE!</v>
      </c>
    </row>
    <row r="198" spans="1:17" x14ac:dyDescent="0.35">
      <c r="A198">
        <v>197</v>
      </c>
      <c r="B198" s="2"/>
      <c r="C198" t="str">
        <f>_xlfn.XLOOKUP(tblAlocacao[[#This Row],[TURMA]],tblTurmas[CODIGO_TURMA],tblTurmas[ID_TURMA],"")</f>
        <v/>
      </c>
      <c r="E198" t="str">
        <f>_xlfn.XLOOKUP(tblAlocacao[[#This Row],[DISCIPLINA]],tblDisciplinas[NOME_DISCIPLINA],tblDisciplinas[ID_DISCIPLINA],"")</f>
        <v/>
      </c>
      <c r="F198" s="40"/>
      <c r="G198" t="str">
        <f>_xlfn.XLOOKUP(tblAlocacao[[#This Row],[Nome do Instrutor]],tblInstrutores[NOME_COMPLETO],tblInstrutores[ID],"")</f>
        <v/>
      </c>
      <c r="H198" t="str">
        <f>_xlfn.XLOOKUP(tblAlocacao[[#This Row],[TURMA]],tblTurmas[CODIGO_TURMA],tblTurmas[INSTRUTOR],"")</f>
        <v/>
      </c>
      <c r="I198" t="str">
        <f>_xlfn.XLOOKUP(tblAlocacao[[#This Row],[AMBIENTE]],tblAmbientes[NOME_AMBIENTE],tblAmbientes[ID],"")</f>
        <v/>
      </c>
      <c r="K198" t="str">
        <f>_xlfn.XLOOKUP(tblAlocacao[[#This Row],['#VALOR!]],tblTurnos[TURNO],tblTurnos[ID_TURNO],"")</f>
        <v/>
      </c>
      <c r="L198" t="str">
        <f>_xlfn.XLOOKUP(tblAlocacao[[#This Row],[TURMA]],tblTurmas[CODIGO_TURMA],tblTurmas[TURNO],"")</f>
        <v/>
      </c>
      <c r="M198" t="str">
        <f>_xlfn.XLOOKUP(tblAlocacao[[#This Row],[MODALIDADE]], tblModalidades[MODALIDADE], tblModalidades[ID_MODALIDADE],"")</f>
        <v/>
      </c>
      <c r="O198" s="32"/>
      <c r="P198" s="32"/>
      <c r="Q198" s="33" t="e">
        <f>($P198-$O198)-_xlfn.XLOOKUP(tblAlocacao[[#This Row],[TURMA]],tblTurmas[CODIGO_TURMA],tblTurmas[INTERVALO],"")</f>
        <v>#VALUE!</v>
      </c>
    </row>
    <row r="199" spans="1:17" x14ac:dyDescent="0.35">
      <c r="A199">
        <v>198</v>
      </c>
      <c r="B199" s="2"/>
      <c r="C199" t="str">
        <f>_xlfn.XLOOKUP(tblAlocacao[[#This Row],[TURMA]],tblTurmas[CODIGO_TURMA],tblTurmas[ID_TURMA],"")</f>
        <v/>
      </c>
      <c r="E199" t="str">
        <f>_xlfn.XLOOKUP(tblAlocacao[[#This Row],[DISCIPLINA]],tblDisciplinas[NOME_DISCIPLINA],tblDisciplinas[ID_DISCIPLINA],"")</f>
        <v/>
      </c>
      <c r="F199" s="40"/>
      <c r="G199" t="str">
        <f>_xlfn.XLOOKUP(tblAlocacao[[#This Row],[Nome do Instrutor]],tblInstrutores[NOME_COMPLETO],tblInstrutores[ID],"")</f>
        <v/>
      </c>
      <c r="H199" t="str">
        <f>_xlfn.XLOOKUP(tblAlocacao[[#This Row],[TURMA]],tblTurmas[CODIGO_TURMA],tblTurmas[INSTRUTOR],"")</f>
        <v/>
      </c>
      <c r="I199" t="str">
        <f>_xlfn.XLOOKUP(tblAlocacao[[#This Row],[AMBIENTE]],tblAmbientes[NOME_AMBIENTE],tblAmbientes[ID],"")</f>
        <v/>
      </c>
      <c r="K199" t="str">
        <f>_xlfn.XLOOKUP(tblAlocacao[[#This Row],['#VALOR!]],tblTurnos[TURNO],tblTurnos[ID_TURNO],"")</f>
        <v/>
      </c>
      <c r="L199" t="str">
        <f>_xlfn.XLOOKUP(tblAlocacao[[#This Row],[TURMA]],tblTurmas[CODIGO_TURMA],tblTurmas[TURNO],"")</f>
        <v/>
      </c>
      <c r="M199" t="str">
        <f>_xlfn.XLOOKUP(tblAlocacao[[#This Row],[MODALIDADE]], tblModalidades[MODALIDADE], tblModalidades[ID_MODALIDADE],"")</f>
        <v/>
      </c>
      <c r="O199" s="32"/>
      <c r="P199" s="32"/>
      <c r="Q199" s="33" t="e">
        <f>($P199-$O199)-_xlfn.XLOOKUP(tblAlocacao[[#This Row],[TURMA]],tblTurmas[CODIGO_TURMA],tblTurmas[INTERVALO],"")</f>
        <v>#VALUE!</v>
      </c>
    </row>
    <row r="200" spans="1:17" x14ac:dyDescent="0.35">
      <c r="A200">
        <v>199</v>
      </c>
      <c r="B200" s="2"/>
      <c r="C200" t="str">
        <f>_xlfn.XLOOKUP(tblAlocacao[[#This Row],[TURMA]],tblTurmas[CODIGO_TURMA],tblTurmas[ID_TURMA],"")</f>
        <v/>
      </c>
      <c r="E200" t="str">
        <f>_xlfn.XLOOKUP(tblAlocacao[[#This Row],[DISCIPLINA]],tblDisciplinas[NOME_DISCIPLINA],tblDisciplinas[ID_DISCIPLINA],"")</f>
        <v/>
      </c>
      <c r="F200" s="40"/>
      <c r="G200" t="str">
        <f>_xlfn.XLOOKUP(tblAlocacao[[#This Row],[Nome do Instrutor]],tblInstrutores[NOME_COMPLETO],tblInstrutores[ID],"")</f>
        <v/>
      </c>
      <c r="H200" t="str">
        <f>_xlfn.XLOOKUP(tblAlocacao[[#This Row],[TURMA]],tblTurmas[CODIGO_TURMA],tblTurmas[INSTRUTOR],"")</f>
        <v/>
      </c>
      <c r="I200" t="str">
        <f>_xlfn.XLOOKUP(tblAlocacao[[#This Row],[AMBIENTE]],tblAmbientes[NOME_AMBIENTE],tblAmbientes[ID],"")</f>
        <v/>
      </c>
      <c r="K200" t="str">
        <f>_xlfn.XLOOKUP(tblAlocacao[[#This Row],['#VALOR!]],tblTurnos[TURNO],tblTurnos[ID_TURNO],"")</f>
        <v/>
      </c>
      <c r="L200" t="str">
        <f>_xlfn.XLOOKUP(tblAlocacao[[#This Row],[TURMA]],tblTurmas[CODIGO_TURMA],tblTurmas[TURNO],"")</f>
        <v/>
      </c>
      <c r="M200" t="str">
        <f>_xlfn.XLOOKUP(tblAlocacao[[#This Row],[MODALIDADE]], tblModalidades[MODALIDADE], tblModalidades[ID_MODALIDADE],"")</f>
        <v/>
      </c>
      <c r="O200" s="32"/>
      <c r="P200" s="32"/>
      <c r="Q200" s="33" t="e">
        <f>($P200-$O200)-_xlfn.XLOOKUP(tblAlocacao[[#This Row],[TURMA]],tblTurmas[CODIGO_TURMA],tblTurmas[INTERVALO],"")</f>
        <v>#VALUE!</v>
      </c>
    </row>
    <row r="201" spans="1:17" x14ac:dyDescent="0.35">
      <c r="A201">
        <v>200</v>
      </c>
      <c r="B201" s="2"/>
      <c r="C201" t="str">
        <f>_xlfn.XLOOKUP(tblAlocacao[[#This Row],[TURMA]],tblTurmas[CODIGO_TURMA],tblTurmas[ID_TURMA],"")</f>
        <v/>
      </c>
      <c r="E201" t="str">
        <f>_xlfn.XLOOKUP(tblAlocacao[[#This Row],[DISCIPLINA]],tblDisciplinas[NOME_DISCIPLINA],tblDisciplinas[ID_DISCIPLINA],"")</f>
        <v/>
      </c>
      <c r="F201" s="40"/>
      <c r="G201" t="str">
        <f>_xlfn.XLOOKUP(tblAlocacao[[#This Row],[Nome do Instrutor]],tblInstrutores[NOME_COMPLETO],tblInstrutores[ID],"")</f>
        <v/>
      </c>
      <c r="H201" t="str">
        <f>_xlfn.XLOOKUP(tblAlocacao[[#This Row],[TURMA]],tblTurmas[CODIGO_TURMA],tblTurmas[INSTRUTOR],"")</f>
        <v/>
      </c>
      <c r="I201" t="str">
        <f>_xlfn.XLOOKUP(tblAlocacao[[#This Row],[AMBIENTE]],tblAmbientes[NOME_AMBIENTE],tblAmbientes[ID],"")</f>
        <v/>
      </c>
      <c r="K201" t="str">
        <f>_xlfn.XLOOKUP(tblAlocacao[[#This Row],['#VALOR!]],tblTurnos[TURNO],tblTurnos[ID_TURNO],"")</f>
        <v/>
      </c>
      <c r="L201" t="str">
        <f>_xlfn.XLOOKUP(tblAlocacao[[#This Row],[TURMA]],tblTurmas[CODIGO_TURMA],tblTurmas[TURNO],"")</f>
        <v/>
      </c>
      <c r="M201" t="str">
        <f>_xlfn.XLOOKUP(tblAlocacao[[#This Row],[MODALIDADE]], tblModalidades[MODALIDADE], tblModalidades[ID_MODALIDADE],"")</f>
        <v/>
      </c>
      <c r="O201" s="32"/>
      <c r="P201" s="32"/>
      <c r="Q201" s="33" t="e">
        <f>($P201-$O201)-_xlfn.XLOOKUP(tblAlocacao[[#This Row],[TURMA]],tblTurmas[CODIGO_TURMA],tblTurmas[INTERVALO],"")</f>
        <v>#VALUE!</v>
      </c>
    </row>
    <row r="202" spans="1:17" x14ac:dyDescent="0.35">
      <c r="A202">
        <v>201</v>
      </c>
      <c r="B202" s="2"/>
      <c r="C202" t="str">
        <f>_xlfn.XLOOKUP(tblAlocacao[[#This Row],[TURMA]],tblTurmas[CODIGO_TURMA],tblTurmas[ID_TURMA],"")</f>
        <v/>
      </c>
      <c r="E202" t="str">
        <f>_xlfn.XLOOKUP(tblAlocacao[[#This Row],[DISCIPLINA]],tblDisciplinas[NOME_DISCIPLINA],tblDisciplinas[ID_DISCIPLINA],"")</f>
        <v/>
      </c>
      <c r="F202" s="40"/>
      <c r="G202" t="str">
        <f>_xlfn.XLOOKUP(tblAlocacao[[#This Row],[Nome do Instrutor]],tblInstrutores[NOME_COMPLETO],tblInstrutores[ID],"")</f>
        <v/>
      </c>
      <c r="H202" t="str">
        <f>_xlfn.XLOOKUP(tblAlocacao[[#This Row],[TURMA]],tblTurmas[CODIGO_TURMA],tblTurmas[INSTRUTOR],"")</f>
        <v/>
      </c>
      <c r="I202" t="str">
        <f>_xlfn.XLOOKUP(tblAlocacao[[#This Row],[AMBIENTE]],tblAmbientes[NOME_AMBIENTE],tblAmbientes[ID],"")</f>
        <v/>
      </c>
      <c r="K202" t="str">
        <f>_xlfn.XLOOKUP(tblAlocacao[[#This Row],['#VALOR!]],tblTurnos[TURNO],tblTurnos[ID_TURNO],"")</f>
        <v/>
      </c>
      <c r="L202" t="str">
        <f>_xlfn.XLOOKUP(tblAlocacao[[#This Row],[TURMA]],tblTurmas[CODIGO_TURMA],tblTurmas[TURNO],"")</f>
        <v/>
      </c>
      <c r="M202" t="str">
        <f>_xlfn.XLOOKUP(tblAlocacao[[#This Row],[MODALIDADE]], tblModalidades[MODALIDADE], tblModalidades[ID_MODALIDADE],"")</f>
        <v/>
      </c>
      <c r="O202" s="32"/>
      <c r="P202" s="32"/>
      <c r="Q202" s="33" t="e">
        <f>($P202-$O202)-_xlfn.XLOOKUP(tblAlocacao[[#This Row],[TURMA]],tblTurmas[CODIGO_TURMA],tblTurmas[INTERVALO],"")</f>
        <v>#VALUE!</v>
      </c>
    </row>
    <row r="203" spans="1:17" x14ac:dyDescent="0.35">
      <c r="A203">
        <v>202</v>
      </c>
      <c r="B203" s="2"/>
      <c r="C203" t="str">
        <f>_xlfn.XLOOKUP(tblAlocacao[[#This Row],[TURMA]],tblTurmas[CODIGO_TURMA],tblTurmas[ID_TURMA],"")</f>
        <v/>
      </c>
      <c r="E203" t="str">
        <f>_xlfn.XLOOKUP(tblAlocacao[[#This Row],[DISCIPLINA]],tblDisciplinas[NOME_DISCIPLINA],tblDisciplinas[ID_DISCIPLINA],"")</f>
        <v/>
      </c>
      <c r="F203" s="40"/>
      <c r="G203" t="str">
        <f>_xlfn.XLOOKUP(tblAlocacao[[#This Row],[Nome do Instrutor]],tblInstrutores[NOME_COMPLETO],tblInstrutores[ID],"")</f>
        <v/>
      </c>
      <c r="H203" t="str">
        <f>_xlfn.XLOOKUP(tblAlocacao[[#This Row],[TURMA]],tblTurmas[CODIGO_TURMA],tblTurmas[INSTRUTOR],"")</f>
        <v/>
      </c>
      <c r="I203" t="str">
        <f>_xlfn.XLOOKUP(tblAlocacao[[#This Row],[AMBIENTE]],tblAmbientes[NOME_AMBIENTE],tblAmbientes[ID],"")</f>
        <v/>
      </c>
      <c r="K203" t="str">
        <f>_xlfn.XLOOKUP(tblAlocacao[[#This Row],['#VALOR!]],tblTurnos[TURNO],tblTurnos[ID_TURNO],"")</f>
        <v/>
      </c>
      <c r="L203" t="str">
        <f>_xlfn.XLOOKUP(tblAlocacao[[#This Row],[TURMA]],tblTurmas[CODIGO_TURMA],tblTurmas[TURNO],"")</f>
        <v/>
      </c>
      <c r="M203" t="str">
        <f>_xlfn.XLOOKUP(tblAlocacao[[#This Row],[MODALIDADE]], tblModalidades[MODALIDADE], tblModalidades[ID_MODALIDADE],"")</f>
        <v/>
      </c>
      <c r="O203" s="32"/>
      <c r="P203" s="32"/>
      <c r="Q203" s="33" t="e">
        <f>($P203-$O203)-_xlfn.XLOOKUP(tblAlocacao[[#This Row],[TURMA]],tblTurmas[CODIGO_TURMA],tblTurmas[INTERVALO],"")</f>
        <v>#VALUE!</v>
      </c>
    </row>
    <row r="204" spans="1:17" x14ac:dyDescent="0.35">
      <c r="A204">
        <v>203</v>
      </c>
      <c r="B204" s="2"/>
      <c r="C204" t="str">
        <f>_xlfn.XLOOKUP(tblAlocacao[[#This Row],[TURMA]],tblTurmas[CODIGO_TURMA],tblTurmas[ID_TURMA],"")</f>
        <v/>
      </c>
      <c r="E204" t="str">
        <f>_xlfn.XLOOKUP(tblAlocacao[[#This Row],[DISCIPLINA]],tblDisciplinas[NOME_DISCIPLINA],tblDisciplinas[ID_DISCIPLINA],"")</f>
        <v/>
      </c>
      <c r="F204" s="40"/>
      <c r="G204" t="str">
        <f>_xlfn.XLOOKUP(tblAlocacao[[#This Row],[Nome do Instrutor]],tblInstrutores[NOME_COMPLETO],tblInstrutores[ID],"")</f>
        <v/>
      </c>
      <c r="H204" t="str">
        <f>_xlfn.XLOOKUP(tblAlocacao[[#This Row],[TURMA]],tblTurmas[CODIGO_TURMA],tblTurmas[INSTRUTOR],"")</f>
        <v/>
      </c>
      <c r="I204" t="str">
        <f>_xlfn.XLOOKUP(tblAlocacao[[#This Row],[AMBIENTE]],tblAmbientes[NOME_AMBIENTE],tblAmbientes[ID],"")</f>
        <v/>
      </c>
      <c r="K204" t="str">
        <f>_xlfn.XLOOKUP(tblAlocacao[[#This Row],['#VALOR!]],tblTurnos[TURNO],tblTurnos[ID_TURNO],"")</f>
        <v/>
      </c>
      <c r="L204" t="str">
        <f>_xlfn.XLOOKUP(tblAlocacao[[#This Row],[TURMA]],tblTurmas[CODIGO_TURMA],tblTurmas[TURNO],"")</f>
        <v/>
      </c>
      <c r="M204" t="str">
        <f>_xlfn.XLOOKUP(tblAlocacao[[#This Row],[MODALIDADE]], tblModalidades[MODALIDADE], tblModalidades[ID_MODALIDADE],"")</f>
        <v/>
      </c>
      <c r="O204" s="32"/>
      <c r="P204" s="32"/>
      <c r="Q204" s="33" t="e">
        <f>($P204-$O204)-_xlfn.XLOOKUP(tblAlocacao[[#This Row],[TURMA]],tblTurmas[CODIGO_TURMA],tblTurmas[INTERVALO],"")</f>
        <v>#VALUE!</v>
      </c>
    </row>
    <row r="205" spans="1:17" x14ac:dyDescent="0.35">
      <c r="A205">
        <v>204</v>
      </c>
      <c r="B205" s="2"/>
      <c r="C205" t="str">
        <f>_xlfn.XLOOKUP(tblAlocacao[[#This Row],[TURMA]],tblTurmas[CODIGO_TURMA],tblTurmas[ID_TURMA],"")</f>
        <v/>
      </c>
      <c r="E205" t="str">
        <f>_xlfn.XLOOKUP(tblAlocacao[[#This Row],[DISCIPLINA]],tblDisciplinas[NOME_DISCIPLINA],tblDisciplinas[ID_DISCIPLINA],"")</f>
        <v/>
      </c>
      <c r="F205" s="40"/>
      <c r="G205" t="str">
        <f>_xlfn.XLOOKUP(tblAlocacao[[#This Row],[Nome do Instrutor]],tblInstrutores[NOME_COMPLETO],tblInstrutores[ID],"")</f>
        <v/>
      </c>
      <c r="H205" t="str">
        <f>_xlfn.XLOOKUP(tblAlocacao[[#This Row],[TURMA]],tblTurmas[CODIGO_TURMA],tblTurmas[INSTRUTOR],"")</f>
        <v/>
      </c>
      <c r="I205" t="str">
        <f>_xlfn.XLOOKUP(tblAlocacao[[#This Row],[AMBIENTE]],tblAmbientes[NOME_AMBIENTE],tblAmbientes[ID],"")</f>
        <v/>
      </c>
      <c r="K205" t="str">
        <f>_xlfn.XLOOKUP(tblAlocacao[[#This Row],['#VALOR!]],tblTurnos[TURNO],tblTurnos[ID_TURNO],"")</f>
        <v/>
      </c>
      <c r="L205" t="str">
        <f>_xlfn.XLOOKUP(tblAlocacao[[#This Row],[TURMA]],tblTurmas[CODIGO_TURMA],tblTurmas[TURNO],"")</f>
        <v/>
      </c>
      <c r="M205" t="str">
        <f>_xlfn.XLOOKUP(tblAlocacao[[#This Row],[MODALIDADE]], tblModalidades[MODALIDADE], tblModalidades[ID_MODALIDADE],"")</f>
        <v/>
      </c>
      <c r="O205" s="32"/>
      <c r="P205" s="32"/>
      <c r="Q205" s="33" t="e">
        <f>($P205-$O205)-_xlfn.XLOOKUP(tblAlocacao[[#This Row],[TURMA]],tblTurmas[CODIGO_TURMA],tblTurmas[INTERVALO],"")</f>
        <v>#VALUE!</v>
      </c>
    </row>
    <row r="206" spans="1:17" x14ac:dyDescent="0.35">
      <c r="A206">
        <v>205</v>
      </c>
      <c r="B206" s="2"/>
      <c r="C206" t="str">
        <f>_xlfn.XLOOKUP(tblAlocacao[[#This Row],[TURMA]],tblTurmas[CODIGO_TURMA],tblTurmas[ID_TURMA],"")</f>
        <v/>
      </c>
      <c r="E206" t="str">
        <f>_xlfn.XLOOKUP(tblAlocacao[[#This Row],[DISCIPLINA]],tblDisciplinas[NOME_DISCIPLINA],tblDisciplinas[ID_DISCIPLINA],"")</f>
        <v/>
      </c>
      <c r="F206" s="40"/>
      <c r="G206" t="str">
        <f>_xlfn.XLOOKUP(tblAlocacao[[#This Row],[Nome do Instrutor]],tblInstrutores[NOME_COMPLETO],tblInstrutores[ID],"")</f>
        <v/>
      </c>
      <c r="H206" t="str">
        <f>_xlfn.XLOOKUP(tblAlocacao[[#This Row],[TURMA]],tblTurmas[CODIGO_TURMA],tblTurmas[INSTRUTOR],"")</f>
        <v/>
      </c>
      <c r="I206" t="str">
        <f>_xlfn.XLOOKUP(tblAlocacao[[#This Row],[AMBIENTE]],tblAmbientes[NOME_AMBIENTE],tblAmbientes[ID],"")</f>
        <v/>
      </c>
      <c r="K206" t="str">
        <f>_xlfn.XLOOKUP(tblAlocacao[[#This Row],['#VALOR!]],tblTurnos[TURNO],tblTurnos[ID_TURNO],"")</f>
        <v/>
      </c>
      <c r="L206" t="str">
        <f>_xlfn.XLOOKUP(tblAlocacao[[#This Row],[TURMA]],tblTurmas[CODIGO_TURMA],tblTurmas[TURNO],"")</f>
        <v/>
      </c>
      <c r="M206" t="str">
        <f>_xlfn.XLOOKUP(tblAlocacao[[#This Row],[MODALIDADE]], tblModalidades[MODALIDADE], tblModalidades[ID_MODALIDADE],"")</f>
        <v/>
      </c>
      <c r="O206" s="32"/>
      <c r="P206" s="32"/>
      <c r="Q206" s="33" t="e">
        <f>($P206-$O206)-_xlfn.XLOOKUP(tblAlocacao[[#This Row],[TURMA]],tblTurmas[CODIGO_TURMA],tblTurmas[INTERVALO],"")</f>
        <v>#VALUE!</v>
      </c>
    </row>
    <row r="207" spans="1:17" x14ac:dyDescent="0.35">
      <c r="A207">
        <v>206</v>
      </c>
      <c r="B207" s="2"/>
      <c r="C207" t="str">
        <f>_xlfn.XLOOKUP(tblAlocacao[[#This Row],[TURMA]],tblTurmas[CODIGO_TURMA],tblTurmas[ID_TURMA],"")</f>
        <v/>
      </c>
      <c r="E207" t="str">
        <f>_xlfn.XLOOKUP(tblAlocacao[[#This Row],[DISCIPLINA]],tblDisciplinas[NOME_DISCIPLINA],tblDisciplinas[ID_DISCIPLINA],"")</f>
        <v/>
      </c>
      <c r="F207" s="40"/>
      <c r="G207" t="str">
        <f>_xlfn.XLOOKUP(tblAlocacao[[#This Row],[Nome do Instrutor]],tblInstrutores[NOME_COMPLETO],tblInstrutores[ID],"")</f>
        <v/>
      </c>
      <c r="H207" t="str">
        <f>_xlfn.XLOOKUP(tblAlocacao[[#This Row],[TURMA]],tblTurmas[CODIGO_TURMA],tblTurmas[INSTRUTOR],"")</f>
        <v/>
      </c>
      <c r="I207" t="str">
        <f>_xlfn.XLOOKUP(tblAlocacao[[#This Row],[AMBIENTE]],tblAmbientes[NOME_AMBIENTE],tblAmbientes[ID],"")</f>
        <v/>
      </c>
      <c r="K207" t="str">
        <f>_xlfn.XLOOKUP(tblAlocacao[[#This Row],['#VALOR!]],tblTurnos[TURNO],tblTurnos[ID_TURNO],"")</f>
        <v/>
      </c>
      <c r="L207" t="str">
        <f>_xlfn.XLOOKUP(tblAlocacao[[#This Row],[TURMA]],tblTurmas[CODIGO_TURMA],tblTurmas[TURNO],"")</f>
        <v/>
      </c>
      <c r="M207" t="str">
        <f>_xlfn.XLOOKUP(tblAlocacao[[#This Row],[MODALIDADE]], tblModalidades[MODALIDADE], tblModalidades[ID_MODALIDADE],"")</f>
        <v/>
      </c>
      <c r="O207" s="32"/>
      <c r="P207" s="32"/>
      <c r="Q207" s="33" t="e">
        <f>($P207-$O207)-_xlfn.XLOOKUP(tblAlocacao[[#This Row],[TURMA]],tblTurmas[CODIGO_TURMA],tblTurmas[INTERVALO],"")</f>
        <v>#VALUE!</v>
      </c>
    </row>
    <row r="208" spans="1:17" x14ac:dyDescent="0.35">
      <c r="A208">
        <v>207</v>
      </c>
      <c r="B208" s="2"/>
      <c r="C208" t="str">
        <f>_xlfn.XLOOKUP(tblAlocacao[[#This Row],[TURMA]],tblTurmas[CODIGO_TURMA],tblTurmas[ID_TURMA],"")</f>
        <v/>
      </c>
      <c r="E208" t="str">
        <f>_xlfn.XLOOKUP(tblAlocacao[[#This Row],[DISCIPLINA]],tblDisciplinas[NOME_DISCIPLINA],tblDisciplinas[ID_DISCIPLINA],"")</f>
        <v/>
      </c>
      <c r="F208" s="40"/>
      <c r="G208" t="str">
        <f>_xlfn.XLOOKUP(tblAlocacao[[#This Row],[Nome do Instrutor]],tblInstrutores[NOME_COMPLETO],tblInstrutores[ID],"")</f>
        <v/>
      </c>
      <c r="H208" t="str">
        <f>_xlfn.XLOOKUP(tblAlocacao[[#This Row],[TURMA]],tblTurmas[CODIGO_TURMA],tblTurmas[INSTRUTOR],"")</f>
        <v/>
      </c>
      <c r="I208" t="str">
        <f>_xlfn.XLOOKUP(tblAlocacao[[#This Row],[AMBIENTE]],tblAmbientes[NOME_AMBIENTE],tblAmbientes[ID],"")</f>
        <v/>
      </c>
      <c r="K208" t="str">
        <f>_xlfn.XLOOKUP(tblAlocacao[[#This Row],['#VALOR!]],tblTurnos[TURNO],tblTurnos[ID_TURNO],"")</f>
        <v/>
      </c>
      <c r="L208" t="str">
        <f>_xlfn.XLOOKUP(tblAlocacao[[#This Row],[TURMA]],tblTurmas[CODIGO_TURMA],tblTurmas[TURNO],"")</f>
        <v/>
      </c>
      <c r="M208" t="str">
        <f>_xlfn.XLOOKUP(tblAlocacao[[#This Row],[MODALIDADE]], tblModalidades[MODALIDADE], tblModalidades[ID_MODALIDADE],"")</f>
        <v/>
      </c>
      <c r="O208" s="32"/>
      <c r="P208" s="32"/>
      <c r="Q208" s="33" t="e">
        <f>($P208-$O208)-_xlfn.XLOOKUP(tblAlocacao[[#This Row],[TURMA]],tblTurmas[CODIGO_TURMA],tblTurmas[INTERVALO],"")</f>
        <v>#VALUE!</v>
      </c>
    </row>
    <row r="209" spans="1:17" x14ac:dyDescent="0.35">
      <c r="A209">
        <v>208</v>
      </c>
      <c r="B209" s="2"/>
      <c r="C209" t="str">
        <f>_xlfn.XLOOKUP(tblAlocacao[[#This Row],[TURMA]],tblTurmas[CODIGO_TURMA],tblTurmas[ID_TURMA],"")</f>
        <v/>
      </c>
      <c r="E209" t="str">
        <f>_xlfn.XLOOKUP(tblAlocacao[[#This Row],[DISCIPLINA]],tblDisciplinas[NOME_DISCIPLINA],tblDisciplinas[ID_DISCIPLINA],"")</f>
        <v/>
      </c>
      <c r="F209" s="40"/>
      <c r="G209" t="str">
        <f>_xlfn.XLOOKUP(tblAlocacao[[#This Row],[Nome do Instrutor]],tblInstrutores[NOME_COMPLETO],tblInstrutores[ID],"")</f>
        <v/>
      </c>
      <c r="H209" t="str">
        <f>_xlfn.XLOOKUP(tblAlocacao[[#This Row],[TURMA]],tblTurmas[CODIGO_TURMA],tblTurmas[INSTRUTOR],"")</f>
        <v/>
      </c>
      <c r="I209" t="str">
        <f>_xlfn.XLOOKUP(tblAlocacao[[#This Row],[AMBIENTE]],tblAmbientes[NOME_AMBIENTE],tblAmbientes[ID],"")</f>
        <v/>
      </c>
      <c r="K209" t="str">
        <f>_xlfn.XLOOKUP(tblAlocacao[[#This Row],['#VALOR!]],tblTurnos[TURNO],tblTurnos[ID_TURNO],"")</f>
        <v/>
      </c>
      <c r="L209" t="str">
        <f>_xlfn.XLOOKUP(tblAlocacao[[#This Row],[TURMA]],tblTurmas[CODIGO_TURMA],tblTurmas[TURNO],"")</f>
        <v/>
      </c>
      <c r="M209" t="str">
        <f>_xlfn.XLOOKUP(tblAlocacao[[#This Row],[MODALIDADE]], tblModalidades[MODALIDADE], tblModalidades[ID_MODALIDADE],"")</f>
        <v/>
      </c>
      <c r="O209" s="32"/>
      <c r="P209" s="32"/>
      <c r="Q209" s="33" t="e">
        <f>($P209-$O209)-_xlfn.XLOOKUP(tblAlocacao[[#This Row],[TURMA]],tblTurmas[CODIGO_TURMA],tblTurmas[INTERVALO],"")</f>
        <v>#VALUE!</v>
      </c>
    </row>
    <row r="210" spans="1:17" x14ac:dyDescent="0.35">
      <c r="A210">
        <v>209</v>
      </c>
      <c r="B210" s="2"/>
      <c r="C210" t="str">
        <f>_xlfn.XLOOKUP(tblAlocacao[[#This Row],[TURMA]],tblTurmas[CODIGO_TURMA],tblTurmas[ID_TURMA],"")</f>
        <v/>
      </c>
      <c r="E210" t="str">
        <f>_xlfn.XLOOKUP(tblAlocacao[[#This Row],[DISCIPLINA]],tblDisciplinas[NOME_DISCIPLINA],tblDisciplinas[ID_DISCIPLINA],"")</f>
        <v/>
      </c>
      <c r="F210" s="40"/>
      <c r="G210" t="str">
        <f>_xlfn.XLOOKUP(tblAlocacao[[#This Row],[Nome do Instrutor]],tblInstrutores[NOME_COMPLETO],tblInstrutores[ID],"")</f>
        <v/>
      </c>
      <c r="H210" t="str">
        <f>_xlfn.XLOOKUP(tblAlocacao[[#This Row],[TURMA]],tblTurmas[CODIGO_TURMA],tblTurmas[INSTRUTOR],"")</f>
        <v/>
      </c>
      <c r="I210" t="str">
        <f>_xlfn.XLOOKUP(tblAlocacao[[#This Row],[AMBIENTE]],tblAmbientes[NOME_AMBIENTE],tblAmbientes[ID],"")</f>
        <v/>
      </c>
      <c r="K210" t="str">
        <f>_xlfn.XLOOKUP(tblAlocacao[[#This Row],['#VALOR!]],tblTurnos[TURNO],tblTurnos[ID_TURNO],"")</f>
        <v/>
      </c>
      <c r="L210" t="str">
        <f>_xlfn.XLOOKUP(tblAlocacao[[#This Row],[TURMA]],tblTurmas[CODIGO_TURMA],tblTurmas[TURNO],"")</f>
        <v/>
      </c>
      <c r="M210" t="str">
        <f>_xlfn.XLOOKUP(tblAlocacao[[#This Row],[MODALIDADE]], tblModalidades[MODALIDADE], tblModalidades[ID_MODALIDADE],"")</f>
        <v/>
      </c>
      <c r="O210" s="32"/>
      <c r="P210" s="32"/>
      <c r="Q210" s="33" t="e">
        <f>($P210-$O210)-_xlfn.XLOOKUP(tblAlocacao[[#This Row],[TURMA]],tblTurmas[CODIGO_TURMA],tblTurmas[INTERVALO],"")</f>
        <v>#VALUE!</v>
      </c>
    </row>
    <row r="211" spans="1:17" x14ac:dyDescent="0.35">
      <c r="A211">
        <v>210</v>
      </c>
      <c r="B211" s="2"/>
      <c r="C211" t="str">
        <f>_xlfn.XLOOKUP(tblAlocacao[[#This Row],[TURMA]],tblTurmas[CODIGO_TURMA],tblTurmas[ID_TURMA],"")</f>
        <v/>
      </c>
      <c r="E211" t="str">
        <f>_xlfn.XLOOKUP(tblAlocacao[[#This Row],[DISCIPLINA]],tblDisciplinas[NOME_DISCIPLINA],tblDisciplinas[ID_DISCIPLINA],"")</f>
        <v/>
      </c>
      <c r="F211" s="40"/>
      <c r="G211" t="str">
        <f>_xlfn.XLOOKUP(tblAlocacao[[#This Row],[Nome do Instrutor]],tblInstrutores[NOME_COMPLETO],tblInstrutores[ID],"")</f>
        <v/>
      </c>
      <c r="H211" t="str">
        <f>_xlfn.XLOOKUP(tblAlocacao[[#This Row],[TURMA]],tblTurmas[CODIGO_TURMA],tblTurmas[INSTRUTOR],"")</f>
        <v/>
      </c>
      <c r="I211" t="str">
        <f>_xlfn.XLOOKUP(tblAlocacao[[#This Row],[AMBIENTE]],tblAmbientes[NOME_AMBIENTE],tblAmbientes[ID],"")</f>
        <v/>
      </c>
      <c r="K211" t="str">
        <f>_xlfn.XLOOKUP(tblAlocacao[[#This Row],['#VALOR!]],tblTurnos[TURNO],tblTurnos[ID_TURNO],"")</f>
        <v/>
      </c>
      <c r="L211" t="str">
        <f>_xlfn.XLOOKUP(tblAlocacao[[#This Row],[TURMA]],tblTurmas[CODIGO_TURMA],tblTurmas[TURNO],"")</f>
        <v/>
      </c>
      <c r="M211" t="str">
        <f>_xlfn.XLOOKUP(tblAlocacao[[#This Row],[MODALIDADE]], tblModalidades[MODALIDADE], tblModalidades[ID_MODALIDADE],"")</f>
        <v/>
      </c>
      <c r="O211" s="32"/>
      <c r="P211" s="32"/>
      <c r="Q211" s="33" t="e">
        <f>($P211-$O211)-_xlfn.XLOOKUP(tblAlocacao[[#This Row],[TURMA]],tblTurmas[CODIGO_TURMA],tblTurmas[INTERVALO],"")</f>
        <v>#VALUE!</v>
      </c>
    </row>
    <row r="212" spans="1:17" x14ac:dyDescent="0.35">
      <c r="A212">
        <v>211</v>
      </c>
      <c r="B212" s="2"/>
      <c r="C212" t="str">
        <f>_xlfn.XLOOKUP(tblAlocacao[[#This Row],[TURMA]],tblTurmas[CODIGO_TURMA],tblTurmas[ID_TURMA],"")</f>
        <v/>
      </c>
      <c r="E212" t="str">
        <f>_xlfn.XLOOKUP(tblAlocacao[[#This Row],[DISCIPLINA]],tblDisciplinas[NOME_DISCIPLINA],tblDisciplinas[ID_DISCIPLINA],"")</f>
        <v/>
      </c>
      <c r="F212" s="40"/>
      <c r="G212" t="str">
        <f>_xlfn.XLOOKUP(tblAlocacao[[#This Row],[Nome do Instrutor]],tblInstrutores[NOME_COMPLETO],tblInstrutores[ID],"")</f>
        <v/>
      </c>
      <c r="H212" t="str">
        <f>_xlfn.XLOOKUP(tblAlocacao[[#This Row],[TURMA]],tblTurmas[CODIGO_TURMA],tblTurmas[INSTRUTOR],"")</f>
        <v/>
      </c>
      <c r="I212" t="str">
        <f>_xlfn.XLOOKUP(tblAlocacao[[#This Row],[AMBIENTE]],tblAmbientes[NOME_AMBIENTE],tblAmbientes[ID],"")</f>
        <v/>
      </c>
      <c r="K212" t="str">
        <f>_xlfn.XLOOKUP(tblAlocacao[[#This Row],['#VALOR!]],tblTurnos[TURNO],tblTurnos[ID_TURNO],"")</f>
        <v/>
      </c>
      <c r="L212" t="str">
        <f>_xlfn.XLOOKUP(tblAlocacao[[#This Row],[TURMA]],tblTurmas[CODIGO_TURMA],tblTurmas[TURNO],"")</f>
        <v/>
      </c>
      <c r="M212" t="str">
        <f>_xlfn.XLOOKUP(tblAlocacao[[#This Row],[MODALIDADE]], tblModalidades[MODALIDADE], tblModalidades[ID_MODALIDADE],"")</f>
        <v/>
      </c>
      <c r="O212" s="32"/>
      <c r="P212" s="32"/>
      <c r="Q212" s="33" t="e">
        <f>($P212-$O212)-_xlfn.XLOOKUP(tblAlocacao[[#This Row],[TURMA]],tblTurmas[CODIGO_TURMA],tblTurmas[INTERVALO],"")</f>
        <v>#VALUE!</v>
      </c>
    </row>
    <row r="213" spans="1:17" x14ac:dyDescent="0.35">
      <c r="A213">
        <v>212</v>
      </c>
      <c r="B213" s="2"/>
      <c r="C213" t="str">
        <f>_xlfn.XLOOKUP(tblAlocacao[[#This Row],[TURMA]],tblTurmas[CODIGO_TURMA],tblTurmas[ID_TURMA],"")</f>
        <v/>
      </c>
      <c r="E213" t="str">
        <f>_xlfn.XLOOKUP(tblAlocacao[[#This Row],[DISCIPLINA]],tblDisciplinas[NOME_DISCIPLINA],tblDisciplinas[ID_DISCIPLINA],"")</f>
        <v/>
      </c>
      <c r="F213" s="40"/>
      <c r="G213" t="str">
        <f>_xlfn.XLOOKUP(tblAlocacao[[#This Row],[Nome do Instrutor]],tblInstrutores[NOME_COMPLETO],tblInstrutores[ID],"")</f>
        <v/>
      </c>
      <c r="H213" t="str">
        <f>_xlfn.XLOOKUP(tblAlocacao[[#This Row],[TURMA]],tblTurmas[CODIGO_TURMA],tblTurmas[INSTRUTOR],"")</f>
        <v/>
      </c>
      <c r="I213" t="str">
        <f>_xlfn.XLOOKUP(tblAlocacao[[#This Row],[AMBIENTE]],tblAmbientes[NOME_AMBIENTE],tblAmbientes[ID],"")</f>
        <v/>
      </c>
      <c r="K213" t="str">
        <f>_xlfn.XLOOKUP(tblAlocacao[[#This Row],['#VALOR!]],tblTurnos[TURNO],tblTurnos[ID_TURNO],"")</f>
        <v/>
      </c>
      <c r="L213" t="str">
        <f>_xlfn.XLOOKUP(tblAlocacao[[#This Row],[TURMA]],tblTurmas[CODIGO_TURMA],tblTurmas[TURNO],"")</f>
        <v/>
      </c>
      <c r="M213" t="str">
        <f>_xlfn.XLOOKUP(tblAlocacao[[#This Row],[MODALIDADE]], tblModalidades[MODALIDADE], tblModalidades[ID_MODALIDADE],"")</f>
        <v/>
      </c>
      <c r="O213" s="32"/>
      <c r="P213" s="32"/>
      <c r="Q213" s="33" t="e">
        <f>($P213-$O213)-_xlfn.XLOOKUP(tblAlocacao[[#This Row],[TURMA]],tblTurmas[CODIGO_TURMA],tblTurmas[INTERVALO],"")</f>
        <v>#VALUE!</v>
      </c>
    </row>
    <row r="214" spans="1:17" x14ac:dyDescent="0.35">
      <c r="A214">
        <v>213</v>
      </c>
      <c r="B214" s="2"/>
      <c r="C214" t="str">
        <f>_xlfn.XLOOKUP(tblAlocacao[[#This Row],[TURMA]],tblTurmas[CODIGO_TURMA],tblTurmas[ID_TURMA],"")</f>
        <v/>
      </c>
      <c r="E214" t="str">
        <f>_xlfn.XLOOKUP(tblAlocacao[[#This Row],[DISCIPLINA]],tblDisciplinas[NOME_DISCIPLINA],tblDisciplinas[ID_DISCIPLINA],"")</f>
        <v/>
      </c>
      <c r="F214" s="40"/>
      <c r="G214" t="str">
        <f>_xlfn.XLOOKUP(tblAlocacao[[#This Row],[Nome do Instrutor]],tblInstrutores[NOME_COMPLETO],tblInstrutores[ID],"")</f>
        <v/>
      </c>
      <c r="H214" t="str">
        <f>_xlfn.XLOOKUP(tblAlocacao[[#This Row],[TURMA]],tblTurmas[CODIGO_TURMA],tblTurmas[INSTRUTOR],"")</f>
        <v/>
      </c>
      <c r="I214" t="str">
        <f>_xlfn.XLOOKUP(tblAlocacao[[#This Row],[AMBIENTE]],tblAmbientes[NOME_AMBIENTE],tblAmbientes[ID],"")</f>
        <v/>
      </c>
      <c r="K214" t="str">
        <f>_xlfn.XLOOKUP(tblAlocacao[[#This Row],['#VALOR!]],tblTurnos[TURNO],tblTurnos[ID_TURNO],"")</f>
        <v/>
      </c>
      <c r="L214" t="str">
        <f>_xlfn.XLOOKUP(tblAlocacao[[#This Row],[TURMA]],tblTurmas[CODIGO_TURMA],tblTurmas[TURNO],"")</f>
        <v/>
      </c>
      <c r="M214" t="str">
        <f>_xlfn.XLOOKUP(tblAlocacao[[#This Row],[MODALIDADE]], tblModalidades[MODALIDADE], tblModalidades[ID_MODALIDADE],"")</f>
        <v/>
      </c>
      <c r="O214" s="32"/>
      <c r="P214" s="32"/>
      <c r="Q214" s="33" t="e">
        <f>($P214-$O214)-_xlfn.XLOOKUP(tblAlocacao[[#This Row],[TURMA]],tblTurmas[CODIGO_TURMA],tblTurmas[INTERVALO],"")</f>
        <v>#VALUE!</v>
      </c>
    </row>
    <row r="215" spans="1:17" x14ac:dyDescent="0.35">
      <c r="A215">
        <v>214</v>
      </c>
      <c r="B215" s="2"/>
      <c r="C215" t="str">
        <f>_xlfn.XLOOKUP(tblAlocacao[[#This Row],[TURMA]],tblTurmas[CODIGO_TURMA],tblTurmas[ID_TURMA],"")</f>
        <v/>
      </c>
      <c r="E215" t="str">
        <f>_xlfn.XLOOKUP(tblAlocacao[[#This Row],[DISCIPLINA]],tblDisciplinas[NOME_DISCIPLINA],tblDisciplinas[ID_DISCIPLINA],"")</f>
        <v/>
      </c>
      <c r="F215" s="40"/>
      <c r="G215" t="str">
        <f>_xlfn.XLOOKUP(tblAlocacao[[#This Row],[Nome do Instrutor]],tblInstrutores[NOME_COMPLETO],tblInstrutores[ID],"")</f>
        <v/>
      </c>
      <c r="H215" t="str">
        <f>_xlfn.XLOOKUP(tblAlocacao[[#This Row],[TURMA]],tblTurmas[CODIGO_TURMA],tblTurmas[INSTRUTOR],"")</f>
        <v/>
      </c>
      <c r="I215" t="str">
        <f>_xlfn.XLOOKUP(tblAlocacao[[#This Row],[AMBIENTE]],tblAmbientes[NOME_AMBIENTE],tblAmbientes[ID],"")</f>
        <v/>
      </c>
      <c r="K215" t="str">
        <f>_xlfn.XLOOKUP(tblAlocacao[[#This Row],['#VALOR!]],tblTurnos[TURNO],tblTurnos[ID_TURNO],"")</f>
        <v/>
      </c>
      <c r="L215" t="str">
        <f>_xlfn.XLOOKUP(tblAlocacao[[#This Row],[TURMA]],tblTurmas[CODIGO_TURMA],tblTurmas[TURNO],"")</f>
        <v/>
      </c>
      <c r="M215" t="str">
        <f>_xlfn.XLOOKUP(tblAlocacao[[#This Row],[MODALIDADE]], tblModalidades[MODALIDADE], tblModalidades[ID_MODALIDADE],"")</f>
        <v/>
      </c>
      <c r="O215" s="32"/>
      <c r="P215" s="32"/>
      <c r="Q215" s="33" t="e">
        <f>($P215-$O215)-_xlfn.XLOOKUP(tblAlocacao[[#This Row],[TURMA]],tblTurmas[CODIGO_TURMA],tblTurmas[INTERVALO],"")</f>
        <v>#VALUE!</v>
      </c>
    </row>
    <row r="216" spans="1:17" x14ac:dyDescent="0.35">
      <c r="A216">
        <v>215</v>
      </c>
      <c r="B216" s="2"/>
      <c r="C216" t="str">
        <f>_xlfn.XLOOKUP(tblAlocacao[[#This Row],[TURMA]],tblTurmas[CODIGO_TURMA],tblTurmas[ID_TURMA],"")</f>
        <v/>
      </c>
      <c r="E216" t="str">
        <f>_xlfn.XLOOKUP(tblAlocacao[[#This Row],[DISCIPLINA]],tblDisciplinas[NOME_DISCIPLINA],tblDisciplinas[ID_DISCIPLINA],"")</f>
        <v/>
      </c>
      <c r="F216" s="40"/>
      <c r="G216" t="str">
        <f>_xlfn.XLOOKUP(tblAlocacao[[#This Row],[Nome do Instrutor]],tblInstrutores[NOME_COMPLETO],tblInstrutores[ID],"")</f>
        <v/>
      </c>
      <c r="H216" t="str">
        <f>_xlfn.XLOOKUP(tblAlocacao[[#This Row],[TURMA]],tblTurmas[CODIGO_TURMA],tblTurmas[INSTRUTOR],"")</f>
        <v/>
      </c>
      <c r="I216" t="str">
        <f>_xlfn.XLOOKUP(tblAlocacao[[#This Row],[AMBIENTE]],tblAmbientes[NOME_AMBIENTE],tblAmbientes[ID],"")</f>
        <v/>
      </c>
      <c r="K216" t="str">
        <f>_xlfn.XLOOKUP(tblAlocacao[[#This Row],['#VALOR!]],tblTurnos[TURNO],tblTurnos[ID_TURNO],"")</f>
        <v/>
      </c>
      <c r="L216" t="str">
        <f>_xlfn.XLOOKUP(tblAlocacao[[#This Row],[TURMA]],tblTurmas[CODIGO_TURMA],tblTurmas[TURNO],"")</f>
        <v/>
      </c>
      <c r="M216" t="str">
        <f>_xlfn.XLOOKUP(tblAlocacao[[#This Row],[MODALIDADE]], tblModalidades[MODALIDADE], tblModalidades[ID_MODALIDADE],"")</f>
        <v/>
      </c>
      <c r="O216" s="32"/>
      <c r="P216" s="32"/>
      <c r="Q216" s="33" t="e">
        <f>($P216-$O216)-_xlfn.XLOOKUP(tblAlocacao[[#This Row],[TURMA]],tblTurmas[CODIGO_TURMA],tblTurmas[INTERVALO],"")</f>
        <v>#VALUE!</v>
      </c>
    </row>
    <row r="217" spans="1:17" x14ac:dyDescent="0.35">
      <c r="A217">
        <v>216</v>
      </c>
      <c r="B217" s="2"/>
      <c r="C217" t="str">
        <f>_xlfn.XLOOKUP(tblAlocacao[[#This Row],[TURMA]],tblTurmas[CODIGO_TURMA],tblTurmas[ID_TURMA],"")</f>
        <v/>
      </c>
      <c r="E217" t="str">
        <f>_xlfn.XLOOKUP(tblAlocacao[[#This Row],[DISCIPLINA]],tblDisciplinas[NOME_DISCIPLINA],tblDisciplinas[ID_DISCIPLINA],"")</f>
        <v/>
      </c>
      <c r="F217" s="40"/>
      <c r="G217" t="str">
        <f>_xlfn.XLOOKUP(tblAlocacao[[#This Row],[Nome do Instrutor]],tblInstrutores[NOME_COMPLETO],tblInstrutores[ID],"")</f>
        <v/>
      </c>
      <c r="H217" t="str">
        <f>_xlfn.XLOOKUP(tblAlocacao[[#This Row],[TURMA]],tblTurmas[CODIGO_TURMA],tblTurmas[INSTRUTOR],"")</f>
        <v/>
      </c>
      <c r="I217" t="str">
        <f>_xlfn.XLOOKUP(tblAlocacao[[#This Row],[AMBIENTE]],tblAmbientes[NOME_AMBIENTE],tblAmbientes[ID],"")</f>
        <v/>
      </c>
      <c r="K217" t="str">
        <f>_xlfn.XLOOKUP(tblAlocacao[[#This Row],['#VALOR!]],tblTurnos[TURNO],tblTurnos[ID_TURNO],"")</f>
        <v/>
      </c>
      <c r="L217" t="str">
        <f>_xlfn.XLOOKUP(tblAlocacao[[#This Row],[TURMA]],tblTurmas[CODIGO_TURMA],tblTurmas[TURNO],"")</f>
        <v/>
      </c>
      <c r="M217" t="str">
        <f>_xlfn.XLOOKUP(tblAlocacao[[#This Row],[MODALIDADE]], tblModalidades[MODALIDADE], tblModalidades[ID_MODALIDADE],"")</f>
        <v/>
      </c>
      <c r="O217" s="32"/>
      <c r="P217" s="32"/>
      <c r="Q217" s="33" t="e">
        <f>($P217-$O217)-_xlfn.XLOOKUP(tblAlocacao[[#This Row],[TURMA]],tblTurmas[CODIGO_TURMA],tblTurmas[INTERVALO],"")</f>
        <v>#VALUE!</v>
      </c>
    </row>
    <row r="218" spans="1:17" x14ac:dyDescent="0.35">
      <c r="A218">
        <v>217</v>
      </c>
      <c r="B218" s="2"/>
      <c r="C218" t="str">
        <f>_xlfn.XLOOKUP(tblAlocacao[[#This Row],[TURMA]],tblTurmas[CODIGO_TURMA],tblTurmas[ID_TURMA],"")</f>
        <v/>
      </c>
      <c r="E218" t="str">
        <f>_xlfn.XLOOKUP(tblAlocacao[[#This Row],[DISCIPLINA]],tblDisciplinas[NOME_DISCIPLINA],tblDisciplinas[ID_DISCIPLINA],"")</f>
        <v/>
      </c>
      <c r="F218" s="40"/>
      <c r="G218" t="str">
        <f>_xlfn.XLOOKUP(tblAlocacao[[#This Row],[Nome do Instrutor]],tblInstrutores[NOME_COMPLETO],tblInstrutores[ID],"")</f>
        <v/>
      </c>
      <c r="H218" t="str">
        <f>_xlfn.XLOOKUP(tblAlocacao[[#This Row],[TURMA]],tblTurmas[CODIGO_TURMA],tblTurmas[INSTRUTOR],"")</f>
        <v/>
      </c>
      <c r="I218" t="str">
        <f>_xlfn.XLOOKUP(tblAlocacao[[#This Row],[AMBIENTE]],tblAmbientes[NOME_AMBIENTE],tblAmbientes[ID],"")</f>
        <v/>
      </c>
      <c r="K218" t="str">
        <f>_xlfn.XLOOKUP(tblAlocacao[[#This Row],['#VALOR!]],tblTurnos[TURNO],tblTurnos[ID_TURNO],"")</f>
        <v/>
      </c>
      <c r="L218" t="str">
        <f>_xlfn.XLOOKUP(tblAlocacao[[#This Row],[TURMA]],tblTurmas[CODIGO_TURMA],tblTurmas[TURNO],"")</f>
        <v/>
      </c>
      <c r="M218" t="str">
        <f>_xlfn.XLOOKUP(tblAlocacao[[#This Row],[MODALIDADE]], tblModalidades[MODALIDADE], tblModalidades[ID_MODALIDADE],"")</f>
        <v/>
      </c>
      <c r="O218" s="32"/>
      <c r="P218" s="32"/>
      <c r="Q218" s="33" t="e">
        <f>($P218-$O218)-_xlfn.XLOOKUP(tblAlocacao[[#This Row],[TURMA]],tblTurmas[CODIGO_TURMA],tblTurmas[INTERVALO],"")</f>
        <v>#VALUE!</v>
      </c>
    </row>
    <row r="219" spans="1:17" x14ac:dyDescent="0.35">
      <c r="A219">
        <v>218</v>
      </c>
      <c r="B219" s="2"/>
      <c r="C219" t="str">
        <f>_xlfn.XLOOKUP(tblAlocacao[[#This Row],[TURMA]],tblTurmas[CODIGO_TURMA],tblTurmas[ID_TURMA],"")</f>
        <v/>
      </c>
      <c r="E219" t="str">
        <f>_xlfn.XLOOKUP(tblAlocacao[[#This Row],[DISCIPLINA]],tblDisciplinas[NOME_DISCIPLINA],tblDisciplinas[ID_DISCIPLINA],"")</f>
        <v/>
      </c>
      <c r="F219" s="40"/>
      <c r="G219" t="str">
        <f>_xlfn.XLOOKUP(tblAlocacao[[#This Row],[Nome do Instrutor]],tblInstrutores[NOME_COMPLETO],tblInstrutores[ID],"")</f>
        <v/>
      </c>
      <c r="H219" t="str">
        <f>_xlfn.XLOOKUP(tblAlocacao[[#This Row],[TURMA]],tblTurmas[CODIGO_TURMA],tblTurmas[INSTRUTOR],"")</f>
        <v/>
      </c>
      <c r="I219" t="str">
        <f>_xlfn.XLOOKUP(tblAlocacao[[#This Row],[AMBIENTE]],tblAmbientes[NOME_AMBIENTE],tblAmbientes[ID],"")</f>
        <v/>
      </c>
      <c r="K219" t="str">
        <f>_xlfn.XLOOKUP(tblAlocacao[[#This Row],['#VALOR!]],tblTurnos[TURNO],tblTurnos[ID_TURNO],"")</f>
        <v/>
      </c>
      <c r="L219" t="str">
        <f>_xlfn.XLOOKUP(tblAlocacao[[#This Row],[TURMA]],tblTurmas[CODIGO_TURMA],tblTurmas[TURNO],"")</f>
        <v/>
      </c>
      <c r="M219" t="str">
        <f>_xlfn.XLOOKUP(tblAlocacao[[#This Row],[MODALIDADE]], tblModalidades[MODALIDADE], tblModalidades[ID_MODALIDADE],"")</f>
        <v/>
      </c>
      <c r="O219" s="32"/>
      <c r="P219" s="32"/>
      <c r="Q219" s="33" t="e">
        <f>($P219-$O219)-_xlfn.XLOOKUP(tblAlocacao[[#This Row],[TURMA]],tblTurmas[CODIGO_TURMA],tblTurmas[INTERVALO],"")</f>
        <v>#VALUE!</v>
      </c>
    </row>
    <row r="220" spans="1:17" x14ac:dyDescent="0.35">
      <c r="A220">
        <v>219</v>
      </c>
      <c r="B220" s="2"/>
      <c r="C220" t="str">
        <f>_xlfn.XLOOKUP(tblAlocacao[[#This Row],[TURMA]],tblTurmas[CODIGO_TURMA],tblTurmas[ID_TURMA],"")</f>
        <v/>
      </c>
      <c r="E220" t="str">
        <f>_xlfn.XLOOKUP(tblAlocacao[[#This Row],[DISCIPLINA]],tblDisciplinas[NOME_DISCIPLINA],tblDisciplinas[ID_DISCIPLINA],"")</f>
        <v/>
      </c>
      <c r="F220" s="40"/>
      <c r="G220" t="str">
        <f>_xlfn.XLOOKUP(tblAlocacao[[#This Row],[Nome do Instrutor]],tblInstrutores[NOME_COMPLETO],tblInstrutores[ID],"")</f>
        <v/>
      </c>
      <c r="H220" t="str">
        <f>_xlfn.XLOOKUP(tblAlocacao[[#This Row],[TURMA]],tblTurmas[CODIGO_TURMA],tblTurmas[INSTRUTOR],"")</f>
        <v/>
      </c>
      <c r="I220" t="str">
        <f>_xlfn.XLOOKUP(tblAlocacao[[#This Row],[AMBIENTE]],tblAmbientes[NOME_AMBIENTE],tblAmbientes[ID],"")</f>
        <v/>
      </c>
      <c r="K220" t="str">
        <f>_xlfn.XLOOKUP(tblAlocacao[[#This Row],['#VALOR!]],tblTurnos[TURNO],tblTurnos[ID_TURNO],"")</f>
        <v/>
      </c>
      <c r="L220" t="str">
        <f>_xlfn.XLOOKUP(tblAlocacao[[#This Row],[TURMA]],tblTurmas[CODIGO_TURMA],tblTurmas[TURNO],"")</f>
        <v/>
      </c>
      <c r="M220" t="str">
        <f>_xlfn.XLOOKUP(tblAlocacao[[#This Row],[MODALIDADE]], tblModalidades[MODALIDADE], tblModalidades[ID_MODALIDADE],"")</f>
        <v/>
      </c>
      <c r="O220" s="32"/>
      <c r="P220" s="32"/>
      <c r="Q220" s="33" t="e">
        <f>($P220-$O220)-_xlfn.XLOOKUP(tblAlocacao[[#This Row],[TURMA]],tblTurmas[CODIGO_TURMA],tblTurmas[INTERVALO],"")</f>
        <v>#VALUE!</v>
      </c>
    </row>
    <row r="221" spans="1:17" x14ac:dyDescent="0.35">
      <c r="A221">
        <v>220</v>
      </c>
      <c r="B221" s="2"/>
      <c r="C221" t="str">
        <f>_xlfn.XLOOKUP(tblAlocacao[[#This Row],[TURMA]],tblTurmas[CODIGO_TURMA],tblTurmas[ID_TURMA],"")</f>
        <v/>
      </c>
      <c r="E221" t="str">
        <f>_xlfn.XLOOKUP(tblAlocacao[[#This Row],[DISCIPLINA]],tblDisciplinas[NOME_DISCIPLINA],tblDisciplinas[ID_DISCIPLINA],"")</f>
        <v/>
      </c>
      <c r="F221" s="40"/>
      <c r="G221" t="str">
        <f>_xlfn.XLOOKUP(tblAlocacao[[#This Row],[Nome do Instrutor]],tblInstrutores[NOME_COMPLETO],tblInstrutores[ID],"")</f>
        <v/>
      </c>
      <c r="H221" t="str">
        <f>_xlfn.XLOOKUP(tblAlocacao[[#This Row],[TURMA]],tblTurmas[CODIGO_TURMA],tblTurmas[INSTRUTOR],"")</f>
        <v/>
      </c>
      <c r="I221" t="str">
        <f>_xlfn.XLOOKUP(tblAlocacao[[#This Row],[AMBIENTE]],tblAmbientes[NOME_AMBIENTE],tblAmbientes[ID],"")</f>
        <v/>
      </c>
      <c r="K221" t="str">
        <f>_xlfn.XLOOKUP(tblAlocacao[[#This Row],['#VALOR!]],tblTurnos[TURNO],tblTurnos[ID_TURNO],"")</f>
        <v/>
      </c>
      <c r="L221" t="str">
        <f>_xlfn.XLOOKUP(tblAlocacao[[#This Row],[TURMA]],tblTurmas[CODIGO_TURMA],tblTurmas[TURNO],"")</f>
        <v/>
      </c>
      <c r="M221" t="str">
        <f>_xlfn.XLOOKUP(tblAlocacao[[#This Row],[MODALIDADE]], tblModalidades[MODALIDADE], tblModalidades[ID_MODALIDADE],"")</f>
        <v/>
      </c>
      <c r="O221" s="32"/>
      <c r="P221" s="32"/>
      <c r="Q221" s="33" t="e">
        <f>($P221-$O221)-_xlfn.XLOOKUP(tblAlocacao[[#This Row],[TURMA]],tblTurmas[CODIGO_TURMA],tblTurmas[INTERVALO],"")</f>
        <v>#VALUE!</v>
      </c>
    </row>
    <row r="222" spans="1:17" x14ac:dyDescent="0.35">
      <c r="A222">
        <v>221</v>
      </c>
      <c r="B222" s="2"/>
      <c r="C222" t="str">
        <f>_xlfn.XLOOKUP(tblAlocacao[[#This Row],[TURMA]],tblTurmas[CODIGO_TURMA],tblTurmas[ID_TURMA],"")</f>
        <v/>
      </c>
      <c r="E222" t="str">
        <f>_xlfn.XLOOKUP(tblAlocacao[[#This Row],[DISCIPLINA]],tblDisciplinas[NOME_DISCIPLINA],tblDisciplinas[ID_DISCIPLINA],"")</f>
        <v/>
      </c>
      <c r="F222" s="40"/>
      <c r="G222" t="str">
        <f>_xlfn.XLOOKUP(tblAlocacao[[#This Row],[Nome do Instrutor]],tblInstrutores[NOME_COMPLETO],tblInstrutores[ID],"")</f>
        <v/>
      </c>
      <c r="H222" t="str">
        <f>_xlfn.XLOOKUP(tblAlocacao[[#This Row],[TURMA]],tblTurmas[CODIGO_TURMA],tblTurmas[INSTRUTOR],"")</f>
        <v/>
      </c>
      <c r="I222" t="str">
        <f>_xlfn.XLOOKUP(tblAlocacao[[#This Row],[AMBIENTE]],tblAmbientes[NOME_AMBIENTE],tblAmbientes[ID],"")</f>
        <v/>
      </c>
      <c r="K222" t="str">
        <f>_xlfn.XLOOKUP(tblAlocacao[[#This Row],['#VALOR!]],tblTurnos[TURNO],tblTurnos[ID_TURNO],"")</f>
        <v/>
      </c>
      <c r="L222" t="str">
        <f>_xlfn.XLOOKUP(tblAlocacao[[#This Row],[TURMA]],tblTurmas[CODIGO_TURMA],tblTurmas[TURNO],"")</f>
        <v/>
      </c>
      <c r="M222" t="str">
        <f>_xlfn.XLOOKUP(tblAlocacao[[#This Row],[MODALIDADE]], tblModalidades[MODALIDADE], tblModalidades[ID_MODALIDADE],"")</f>
        <v/>
      </c>
      <c r="O222" s="32"/>
      <c r="P222" s="32"/>
      <c r="Q222" s="33" t="e">
        <f>($P222-$O222)-_xlfn.XLOOKUP(tblAlocacao[[#This Row],[TURMA]],tblTurmas[CODIGO_TURMA],tblTurmas[INTERVALO],"")</f>
        <v>#VALUE!</v>
      </c>
    </row>
    <row r="223" spans="1:17" x14ac:dyDescent="0.35">
      <c r="A223">
        <v>222</v>
      </c>
      <c r="B223" s="2"/>
      <c r="C223" t="str">
        <f>_xlfn.XLOOKUP(tblAlocacao[[#This Row],[TURMA]],tblTurmas[CODIGO_TURMA],tblTurmas[ID_TURMA],"")</f>
        <v/>
      </c>
      <c r="E223" t="str">
        <f>_xlfn.XLOOKUP(tblAlocacao[[#This Row],[DISCIPLINA]],tblDisciplinas[NOME_DISCIPLINA],tblDisciplinas[ID_DISCIPLINA],"")</f>
        <v/>
      </c>
      <c r="F223" s="40"/>
      <c r="G223" t="str">
        <f>_xlfn.XLOOKUP(tblAlocacao[[#This Row],[Nome do Instrutor]],tblInstrutores[NOME_COMPLETO],tblInstrutores[ID],"")</f>
        <v/>
      </c>
      <c r="H223" t="str">
        <f>_xlfn.XLOOKUP(tblAlocacao[[#This Row],[TURMA]],tblTurmas[CODIGO_TURMA],tblTurmas[INSTRUTOR],"")</f>
        <v/>
      </c>
      <c r="I223" t="str">
        <f>_xlfn.XLOOKUP(tblAlocacao[[#This Row],[AMBIENTE]],tblAmbientes[NOME_AMBIENTE],tblAmbientes[ID],"")</f>
        <v/>
      </c>
      <c r="K223" t="str">
        <f>_xlfn.XLOOKUP(tblAlocacao[[#This Row],['#VALOR!]],tblTurnos[TURNO],tblTurnos[ID_TURNO],"")</f>
        <v/>
      </c>
      <c r="L223" t="str">
        <f>_xlfn.XLOOKUP(tblAlocacao[[#This Row],[TURMA]],tblTurmas[CODIGO_TURMA],tblTurmas[TURNO],"")</f>
        <v/>
      </c>
      <c r="M223" t="str">
        <f>_xlfn.XLOOKUP(tblAlocacao[[#This Row],[MODALIDADE]], tblModalidades[MODALIDADE], tblModalidades[ID_MODALIDADE],"")</f>
        <v/>
      </c>
      <c r="O223" s="32"/>
      <c r="P223" s="32"/>
      <c r="Q223" s="33" t="e">
        <f>($P223-$O223)-_xlfn.XLOOKUP(tblAlocacao[[#This Row],[TURMA]],tblTurmas[CODIGO_TURMA],tblTurmas[INTERVALO],"")</f>
        <v>#VALUE!</v>
      </c>
    </row>
    <row r="224" spans="1:17" x14ac:dyDescent="0.35">
      <c r="A224">
        <v>223</v>
      </c>
      <c r="B224" s="2"/>
      <c r="C224" t="str">
        <f>_xlfn.XLOOKUP(tblAlocacao[[#This Row],[TURMA]],tblTurmas[CODIGO_TURMA],tblTurmas[ID_TURMA],"")</f>
        <v/>
      </c>
      <c r="E224" t="str">
        <f>_xlfn.XLOOKUP(tblAlocacao[[#This Row],[DISCIPLINA]],tblDisciplinas[NOME_DISCIPLINA],tblDisciplinas[ID_DISCIPLINA],"")</f>
        <v/>
      </c>
      <c r="F224" s="40"/>
      <c r="G224" t="str">
        <f>_xlfn.XLOOKUP(tblAlocacao[[#This Row],[Nome do Instrutor]],tblInstrutores[NOME_COMPLETO],tblInstrutores[ID],"")</f>
        <v/>
      </c>
      <c r="H224" t="str">
        <f>_xlfn.XLOOKUP(tblAlocacao[[#This Row],[TURMA]],tblTurmas[CODIGO_TURMA],tblTurmas[INSTRUTOR],"")</f>
        <v/>
      </c>
      <c r="I224" t="str">
        <f>_xlfn.XLOOKUP(tblAlocacao[[#This Row],[AMBIENTE]],tblAmbientes[NOME_AMBIENTE],tblAmbientes[ID],"")</f>
        <v/>
      </c>
      <c r="K224" t="str">
        <f>_xlfn.XLOOKUP(tblAlocacao[[#This Row],['#VALOR!]],tblTurnos[TURNO],tblTurnos[ID_TURNO],"")</f>
        <v/>
      </c>
      <c r="L224" t="str">
        <f>_xlfn.XLOOKUP(tblAlocacao[[#This Row],[TURMA]],tblTurmas[CODIGO_TURMA],tblTurmas[TURNO],"")</f>
        <v/>
      </c>
      <c r="M224" t="str">
        <f>_xlfn.XLOOKUP(tblAlocacao[[#This Row],[MODALIDADE]], tblModalidades[MODALIDADE], tblModalidades[ID_MODALIDADE],"")</f>
        <v/>
      </c>
      <c r="O224" s="32"/>
      <c r="P224" s="32"/>
      <c r="Q224" s="33" t="e">
        <f>($P224-$O224)-_xlfn.XLOOKUP(tblAlocacao[[#This Row],[TURMA]],tblTurmas[CODIGO_TURMA],tblTurmas[INTERVALO],"")</f>
        <v>#VALUE!</v>
      </c>
    </row>
    <row r="225" spans="1:17" x14ac:dyDescent="0.35">
      <c r="A225">
        <v>224</v>
      </c>
      <c r="B225" s="2"/>
      <c r="C225" t="str">
        <f>_xlfn.XLOOKUP(tblAlocacao[[#This Row],[TURMA]],tblTurmas[CODIGO_TURMA],tblTurmas[ID_TURMA],"")</f>
        <v/>
      </c>
      <c r="E225" t="str">
        <f>_xlfn.XLOOKUP(tblAlocacao[[#This Row],[DISCIPLINA]],tblDisciplinas[NOME_DISCIPLINA],tblDisciplinas[ID_DISCIPLINA],"")</f>
        <v/>
      </c>
      <c r="F225" s="40"/>
      <c r="G225" t="str">
        <f>_xlfn.XLOOKUP(tblAlocacao[[#This Row],[Nome do Instrutor]],tblInstrutores[NOME_COMPLETO],tblInstrutores[ID],"")</f>
        <v/>
      </c>
      <c r="H225" t="str">
        <f>_xlfn.XLOOKUP(tblAlocacao[[#This Row],[TURMA]],tblTurmas[CODIGO_TURMA],tblTurmas[INSTRUTOR],"")</f>
        <v/>
      </c>
      <c r="I225" t="str">
        <f>_xlfn.XLOOKUP(tblAlocacao[[#This Row],[AMBIENTE]],tblAmbientes[NOME_AMBIENTE],tblAmbientes[ID],"")</f>
        <v/>
      </c>
      <c r="K225" t="str">
        <f>_xlfn.XLOOKUP(tblAlocacao[[#This Row],['#VALOR!]],tblTurnos[TURNO],tblTurnos[ID_TURNO],"")</f>
        <v/>
      </c>
      <c r="L225" t="str">
        <f>_xlfn.XLOOKUP(tblAlocacao[[#This Row],[TURMA]],tblTurmas[CODIGO_TURMA],tblTurmas[TURNO],"")</f>
        <v/>
      </c>
      <c r="M225" t="str">
        <f>_xlfn.XLOOKUP(tblAlocacao[[#This Row],[MODALIDADE]], tblModalidades[MODALIDADE], tblModalidades[ID_MODALIDADE],"")</f>
        <v/>
      </c>
      <c r="O225" s="32"/>
      <c r="P225" s="32"/>
      <c r="Q225" s="33" t="e">
        <f>($P225-$O225)-_xlfn.XLOOKUP(tblAlocacao[[#This Row],[TURMA]],tblTurmas[CODIGO_TURMA],tblTurmas[INTERVALO],"")</f>
        <v>#VALUE!</v>
      </c>
    </row>
    <row r="226" spans="1:17" x14ac:dyDescent="0.35">
      <c r="A226">
        <v>225</v>
      </c>
      <c r="B226" s="2"/>
      <c r="C226" t="str">
        <f>_xlfn.XLOOKUP(tblAlocacao[[#This Row],[TURMA]],tblTurmas[CODIGO_TURMA],tblTurmas[ID_TURMA],"")</f>
        <v/>
      </c>
      <c r="E226" t="str">
        <f>_xlfn.XLOOKUP(tblAlocacao[[#This Row],[DISCIPLINA]],tblDisciplinas[NOME_DISCIPLINA],tblDisciplinas[ID_DISCIPLINA],"")</f>
        <v/>
      </c>
      <c r="F226" s="40"/>
      <c r="G226" t="str">
        <f>_xlfn.XLOOKUP(tblAlocacao[[#This Row],[Nome do Instrutor]],tblInstrutores[NOME_COMPLETO],tblInstrutores[ID],"")</f>
        <v/>
      </c>
      <c r="H226" t="str">
        <f>_xlfn.XLOOKUP(tblAlocacao[[#This Row],[TURMA]],tblTurmas[CODIGO_TURMA],tblTurmas[INSTRUTOR],"")</f>
        <v/>
      </c>
      <c r="I226" t="str">
        <f>_xlfn.XLOOKUP(tblAlocacao[[#This Row],[AMBIENTE]],tblAmbientes[NOME_AMBIENTE],tblAmbientes[ID],"")</f>
        <v/>
      </c>
      <c r="K226" t="str">
        <f>_xlfn.XLOOKUP(tblAlocacao[[#This Row],['#VALOR!]],tblTurnos[TURNO],tblTurnos[ID_TURNO],"")</f>
        <v/>
      </c>
      <c r="L226" t="str">
        <f>_xlfn.XLOOKUP(tblAlocacao[[#This Row],[TURMA]],tblTurmas[CODIGO_TURMA],tblTurmas[TURNO],"")</f>
        <v/>
      </c>
      <c r="M226" t="str">
        <f>_xlfn.XLOOKUP(tblAlocacao[[#This Row],[MODALIDADE]], tblModalidades[MODALIDADE], tblModalidades[ID_MODALIDADE],"")</f>
        <v/>
      </c>
      <c r="O226" s="32"/>
      <c r="P226" s="32"/>
      <c r="Q226" s="33" t="e">
        <f>($P226-$O226)-_xlfn.XLOOKUP(tblAlocacao[[#This Row],[TURMA]],tblTurmas[CODIGO_TURMA],tblTurmas[INTERVALO],"")</f>
        <v>#VALUE!</v>
      </c>
    </row>
    <row r="227" spans="1:17" x14ac:dyDescent="0.35">
      <c r="A227">
        <v>226</v>
      </c>
      <c r="B227" s="2"/>
      <c r="C227" t="str">
        <f>_xlfn.XLOOKUP(tblAlocacao[[#This Row],[TURMA]],tblTurmas[CODIGO_TURMA],tblTurmas[ID_TURMA],"")</f>
        <v/>
      </c>
      <c r="E227" t="str">
        <f>_xlfn.XLOOKUP(tblAlocacao[[#This Row],[DISCIPLINA]],tblDisciplinas[NOME_DISCIPLINA],tblDisciplinas[ID_DISCIPLINA],"")</f>
        <v/>
      </c>
      <c r="F227" s="40"/>
      <c r="G227" t="str">
        <f>_xlfn.XLOOKUP(tblAlocacao[[#This Row],[Nome do Instrutor]],tblInstrutores[NOME_COMPLETO],tblInstrutores[ID],"")</f>
        <v/>
      </c>
      <c r="H227" t="str">
        <f>_xlfn.XLOOKUP(tblAlocacao[[#This Row],[TURMA]],tblTurmas[CODIGO_TURMA],tblTurmas[INSTRUTOR],"")</f>
        <v/>
      </c>
      <c r="I227" t="str">
        <f>_xlfn.XLOOKUP(tblAlocacao[[#This Row],[AMBIENTE]],tblAmbientes[NOME_AMBIENTE],tblAmbientes[ID],"")</f>
        <v/>
      </c>
      <c r="K227" t="str">
        <f>_xlfn.XLOOKUP(tblAlocacao[[#This Row],['#VALOR!]],tblTurnos[TURNO],tblTurnos[ID_TURNO],"")</f>
        <v/>
      </c>
      <c r="L227" t="str">
        <f>_xlfn.XLOOKUP(tblAlocacao[[#This Row],[TURMA]],tblTurmas[CODIGO_TURMA],tblTurmas[TURNO],"")</f>
        <v/>
      </c>
      <c r="M227" t="str">
        <f>_xlfn.XLOOKUP(tblAlocacao[[#This Row],[MODALIDADE]], tblModalidades[MODALIDADE], tblModalidades[ID_MODALIDADE],"")</f>
        <v/>
      </c>
      <c r="O227" s="32"/>
      <c r="P227" s="32"/>
      <c r="Q227" s="33" t="e">
        <f>($P227-$O227)-_xlfn.XLOOKUP(tblAlocacao[[#This Row],[TURMA]],tblTurmas[CODIGO_TURMA],tblTurmas[INTERVALO],"")</f>
        <v>#VALUE!</v>
      </c>
    </row>
    <row r="228" spans="1:17" x14ac:dyDescent="0.35">
      <c r="A228">
        <v>227</v>
      </c>
      <c r="B228" s="2"/>
      <c r="C228" t="str">
        <f>_xlfn.XLOOKUP(tblAlocacao[[#This Row],[TURMA]],tblTurmas[CODIGO_TURMA],tblTurmas[ID_TURMA],"")</f>
        <v/>
      </c>
      <c r="E228" t="str">
        <f>_xlfn.XLOOKUP(tblAlocacao[[#This Row],[DISCIPLINA]],tblDisciplinas[NOME_DISCIPLINA],tblDisciplinas[ID_DISCIPLINA],"")</f>
        <v/>
      </c>
      <c r="F228" s="40"/>
      <c r="G228" t="str">
        <f>_xlfn.XLOOKUP(tblAlocacao[[#This Row],[Nome do Instrutor]],tblInstrutores[NOME_COMPLETO],tblInstrutores[ID],"")</f>
        <v/>
      </c>
      <c r="H228" t="str">
        <f>_xlfn.XLOOKUP(tblAlocacao[[#This Row],[TURMA]],tblTurmas[CODIGO_TURMA],tblTurmas[INSTRUTOR],"")</f>
        <v/>
      </c>
      <c r="I228" t="str">
        <f>_xlfn.XLOOKUP(tblAlocacao[[#This Row],[AMBIENTE]],tblAmbientes[NOME_AMBIENTE],tblAmbientes[ID],"")</f>
        <v/>
      </c>
      <c r="K228" t="str">
        <f>_xlfn.XLOOKUP(tblAlocacao[[#This Row],['#VALOR!]],tblTurnos[TURNO],tblTurnos[ID_TURNO],"")</f>
        <v/>
      </c>
      <c r="L228" t="str">
        <f>_xlfn.XLOOKUP(tblAlocacao[[#This Row],[TURMA]],tblTurmas[CODIGO_TURMA],tblTurmas[TURNO],"")</f>
        <v/>
      </c>
      <c r="M228" t="str">
        <f>_xlfn.XLOOKUP(tblAlocacao[[#This Row],[MODALIDADE]], tblModalidades[MODALIDADE], tblModalidades[ID_MODALIDADE],"")</f>
        <v/>
      </c>
      <c r="O228" s="32"/>
      <c r="P228" s="32"/>
      <c r="Q228" s="33" t="e">
        <f>($P228-$O228)-_xlfn.XLOOKUP(tblAlocacao[[#This Row],[TURMA]],tblTurmas[CODIGO_TURMA],tblTurmas[INTERVALO],"")</f>
        <v>#VALUE!</v>
      </c>
    </row>
    <row r="229" spans="1:17" x14ac:dyDescent="0.35">
      <c r="A229">
        <v>228</v>
      </c>
      <c r="B229" s="2"/>
      <c r="C229" t="str">
        <f>_xlfn.XLOOKUP(tblAlocacao[[#This Row],[TURMA]],tblTurmas[CODIGO_TURMA],tblTurmas[ID_TURMA],"")</f>
        <v/>
      </c>
      <c r="E229" t="str">
        <f>_xlfn.XLOOKUP(tblAlocacao[[#This Row],[DISCIPLINA]],tblDisciplinas[NOME_DISCIPLINA],tblDisciplinas[ID_DISCIPLINA],"")</f>
        <v/>
      </c>
      <c r="F229" s="40"/>
      <c r="G229" t="str">
        <f>_xlfn.XLOOKUP(tblAlocacao[[#This Row],[Nome do Instrutor]],tblInstrutores[NOME_COMPLETO],tblInstrutores[ID],"")</f>
        <v/>
      </c>
      <c r="H229" t="str">
        <f>_xlfn.XLOOKUP(tblAlocacao[[#This Row],[TURMA]],tblTurmas[CODIGO_TURMA],tblTurmas[INSTRUTOR],"")</f>
        <v/>
      </c>
      <c r="I229" t="str">
        <f>_xlfn.XLOOKUP(tblAlocacao[[#This Row],[AMBIENTE]],tblAmbientes[NOME_AMBIENTE],tblAmbientes[ID],"")</f>
        <v/>
      </c>
      <c r="K229" t="str">
        <f>_xlfn.XLOOKUP(tblAlocacao[[#This Row],['#VALOR!]],tblTurnos[TURNO],tblTurnos[ID_TURNO],"")</f>
        <v/>
      </c>
      <c r="L229" t="str">
        <f>_xlfn.XLOOKUP(tblAlocacao[[#This Row],[TURMA]],tblTurmas[CODIGO_TURMA],tblTurmas[TURNO],"")</f>
        <v/>
      </c>
      <c r="M229" t="str">
        <f>_xlfn.XLOOKUP(tblAlocacao[[#This Row],[MODALIDADE]], tblModalidades[MODALIDADE], tblModalidades[ID_MODALIDADE],"")</f>
        <v/>
      </c>
      <c r="O229" s="32"/>
      <c r="P229" s="32"/>
      <c r="Q229" s="33" t="e">
        <f>($P229-$O229)-_xlfn.XLOOKUP(tblAlocacao[[#This Row],[TURMA]],tblTurmas[CODIGO_TURMA],tblTurmas[INTERVALO],"")</f>
        <v>#VALUE!</v>
      </c>
    </row>
    <row r="230" spans="1:17" x14ac:dyDescent="0.35">
      <c r="A230">
        <v>229</v>
      </c>
      <c r="B230" s="2"/>
      <c r="C230" t="str">
        <f>_xlfn.XLOOKUP(tblAlocacao[[#This Row],[TURMA]],tblTurmas[CODIGO_TURMA],tblTurmas[ID_TURMA],"")</f>
        <v/>
      </c>
      <c r="E230" t="str">
        <f>_xlfn.XLOOKUP(tblAlocacao[[#This Row],[DISCIPLINA]],tblDisciplinas[NOME_DISCIPLINA],tblDisciplinas[ID_DISCIPLINA],"")</f>
        <v/>
      </c>
      <c r="F230" s="40"/>
      <c r="G230" t="str">
        <f>_xlfn.XLOOKUP(tblAlocacao[[#This Row],[Nome do Instrutor]],tblInstrutores[NOME_COMPLETO],tblInstrutores[ID],"")</f>
        <v/>
      </c>
      <c r="H230" t="str">
        <f>_xlfn.XLOOKUP(tblAlocacao[[#This Row],[TURMA]],tblTurmas[CODIGO_TURMA],tblTurmas[INSTRUTOR],"")</f>
        <v/>
      </c>
      <c r="I230" t="str">
        <f>_xlfn.XLOOKUP(tblAlocacao[[#This Row],[AMBIENTE]],tblAmbientes[NOME_AMBIENTE],tblAmbientes[ID],"")</f>
        <v/>
      </c>
      <c r="K230" t="str">
        <f>_xlfn.XLOOKUP(tblAlocacao[[#This Row],['#VALOR!]],tblTurnos[TURNO],tblTurnos[ID_TURNO],"")</f>
        <v/>
      </c>
      <c r="L230" t="str">
        <f>_xlfn.XLOOKUP(tblAlocacao[[#This Row],[TURMA]],tblTurmas[CODIGO_TURMA],tblTurmas[TURNO],"")</f>
        <v/>
      </c>
      <c r="M230" t="str">
        <f>_xlfn.XLOOKUP(tblAlocacao[[#This Row],[MODALIDADE]], tblModalidades[MODALIDADE], tblModalidades[ID_MODALIDADE],"")</f>
        <v/>
      </c>
      <c r="O230" s="32"/>
      <c r="P230" s="32"/>
      <c r="Q230" s="33" t="e">
        <f>($P230-$O230)-_xlfn.XLOOKUP(tblAlocacao[[#This Row],[TURMA]],tblTurmas[CODIGO_TURMA],tblTurmas[INTERVALO],"")</f>
        <v>#VALUE!</v>
      </c>
    </row>
    <row r="231" spans="1:17" x14ac:dyDescent="0.35">
      <c r="A231">
        <v>230</v>
      </c>
      <c r="B231" s="2"/>
      <c r="C231" t="str">
        <f>_xlfn.XLOOKUP(tblAlocacao[[#This Row],[TURMA]],tblTurmas[CODIGO_TURMA],tblTurmas[ID_TURMA],"")</f>
        <v/>
      </c>
      <c r="E231" t="str">
        <f>_xlfn.XLOOKUP(tblAlocacao[[#This Row],[DISCIPLINA]],tblDisciplinas[NOME_DISCIPLINA],tblDisciplinas[ID_DISCIPLINA],"")</f>
        <v/>
      </c>
      <c r="F231" s="40"/>
      <c r="G231" t="str">
        <f>_xlfn.XLOOKUP(tblAlocacao[[#This Row],[Nome do Instrutor]],tblInstrutores[NOME_COMPLETO],tblInstrutores[ID],"")</f>
        <v/>
      </c>
      <c r="H231" t="str">
        <f>_xlfn.XLOOKUP(tblAlocacao[[#This Row],[TURMA]],tblTurmas[CODIGO_TURMA],tblTurmas[INSTRUTOR],"")</f>
        <v/>
      </c>
      <c r="I231" t="str">
        <f>_xlfn.XLOOKUP(tblAlocacao[[#This Row],[AMBIENTE]],tblAmbientes[NOME_AMBIENTE],tblAmbientes[ID],"")</f>
        <v/>
      </c>
      <c r="K231" t="str">
        <f>_xlfn.XLOOKUP(tblAlocacao[[#This Row],['#VALOR!]],tblTurnos[TURNO],tblTurnos[ID_TURNO],"")</f>
        <v/>
      </c>
      <c r="L231" t="str">
        <f>_xlfn.XLOOKUP(tblAlocacao[[#This Row],[TURMA]],tblTurmas[CODIGO_TURMA],tblTurmas[TURNO],"")</f>
        <v/>
      </c>
      <c r="M231" t="str">
        <f>_xlfn.XLOOKUP(tblAlocacao[[#This Row],[MODALIDADE]], tblModalidades[MODALIDADE], tblModalidades[ID_MODALIDADE],"")</f>
        <v/>
      </c>
      <c r="O231" s="32"/>
      <c r="P231" s="32"/>
      <c r="Q231" s="33" t="e">
        <f>($P231-$O231)-_xlfn.XLOOKUP(tblAlocacao[[#This Row],[TURMA]],tblTurmas[CODIGO_TURMA],tblTurmas[INTERVALO],"")</f>
        <v>#VALUE!</v>
      </c>
    </row>
    <row r="232" spans="1:17" x14ac:dyDescent="0.35">
      <c r="A232">
        <v>231</v>
      </c>
      <c r="B232" s="2"/>
      <c r="C232" t="str">
        <f>_xlfn.XLOOKUP(tblAlocacao[[#This Row],[TURMA]],tblTurmas[CODIGO_TURMA],tblTurmas[ID_TURMA],"")</f>
        <v/>
      </c>
      <c r="E232" t="str">
        <f>_xlfn.XLOOKUP(tblAlocacao[[#This Row],[DISCIPLINA]],tblDisciplinas[NOME_DISCIPLINA],tblDisciplinas[ID_DISCIPLINA],"")</f>
        <v/>
      </c>
      <c r="F232" s="40"/>
      <c r="G232" t="str">
        <f>_xlfn.XLOOKUP(tblAlocacao[[#This Row],[Nome do Instrutor]],tblInstrutores[NOME_COMPLETO],tblInstrutores[ID],"")</f>
        <v/>
      </c>
      <c r="H232" t="str">
        <f>_xlfn.XLOOKUP(tblAlocacao[[#This Row],[TURMA]],tblTurmas[CODIGO_TURMA],tblTurmas[INSTRUTOR],"")</f>
        <v/>
      </c>
      <c r="I232" t="str">
        <f>_xlfn.XLOOKUP(tblAlocacao[[#This Row],[AMBIENTE]],tblAmbientes[NOME_AMBIENTE],tblAmbientes[ID],"")</f>
        <v/>
      </c>
      <c r="K232" t="str">
        <f>_xlfn.XLOOKUP(tblAlocacao[[#This Row],['#VALOR!]],tblTurnos[TURNO],tblTurnos[ID_TURNO],"")</f>
        <v/>
      </c>
      <c r="L232" t="str">
        <f>_xlfn.XLOOKUP(tblAlocacao[[#This Row],[TURMA]],tblTurmas[CODIGO_TURMA],tblTurmas[TURNO],"")</f>
        <v/>
      </c>
      <c r="M232" t="str">
        <f>_xlfn.XLOOKUP(tblAlocacao[[#This Row],[MODALIDADE]], tblModalidades[MODALIDADE], tblModalidades[ID_MODALIDADE],"")</f>
        <v/>
      </c>
      <c r="O232" s="32"/>
      <c r="P232" s="32"/>
      <c r="Q232" s="33" t="e">
        <f>($P232-$O232)-_xlfn.XLOOKUP(tblAlocacao[[#This Row],[TURMA]],tblTurmas[CODIGO_TURMA],tblTurmas[INTERVALO],"")</f>
        <v>#VALUE!</v>
      </c>
    </row>
    <row r="233" spans="1:17" x14ac:dyDescent="0.35">
      <c r="A233">
        <v>232</v>
      </c>
      <c r="B233" s="2"/>
      <c r="C233" t="str">
        <f>_xlfn.XLOOKUP(tblAlocacao[[#This Row],[TURMA]],tblTurmas[CODIGO_TURMA],tblTurmas[ID_TURMA],"")</f>
        <v/>
      </c>
      <c r="E233" t="str">
        <f>_xlfn.XLOOKUP(tblAlocacao[[#This Row],[DISCIPLINA]],tblDisciplinas[NOME_DISCIPLINA],tblDisciplinas[ID_DISCIPLINA],"")</f>
        <v/>
      </c>
      <c r="F233" s="40"/>
      <c r="G233" t="str">
        <f>_xlfn.XLOOKUP(tblAlocacao[[#This Row],[Nome do Instrutor]],tblInstrutores[NOME_COMPLETO],tblInstrutores[ID],"")</f>
        <v/>
      </c>
      <c r="H233" t="str">
        <f>_xlfn.XLOOKUP(tblAlocacao[[#This Row],[TURMA]],tblTurmas[CODIGO_TURMA],tblTurmas[INSTRUTOR],"")</f>
        <v/>
      </c>
      <c r="I233" t="str">
        <f>_xlfn.XLOOKUP(tblAlocacao[[#This Row],[AMBIENTE]],tblAmbientes[NOME_AMBIENTE],tblAmbientes[ID],"")</f>
        <v/>
      </c>
      <c r="K233" t="str">
        <f>_xlfn.XLOOKUP(tblAlocacao[[#This Row],['#VALOR!]],tblTurnos[TURNO],tblTurnos[ID_TURNO],"")</f>
        <v/>
      </c>
      <c r="L233" t="str">
        <f>_xlfn.XLOOKUP(tblAlocacao[[#This Row],[TURMA]],tblTurmas[CODIGO_TURMA],tblTurmas[TURNO],"")</f>
        <v/>
      </c>
      <c r="M233" t="str">
        <f>_xlfn.XLOOKUP(tblAlocacao[[#This Row],[MODALIDADE]], tblModalidades[MODALIDADE], tblModalidades[ID_MODALIDADE],"")</f>
        <v/>
      </c>
      <c r="O233" s="32"/>
      <c r="P233" s="32"/>
      <c r="Q233" s="33" t="e">
        <f>($P233-$O233)-_xlfn.XLOOKUP(tblAlocacao[[#This Row],[TURMA]],tblTurmas[CODIGO_TURMA],tblTurmas[INTERVALO],"")</f>
        <v>#VALUE!</v>
      </c>
    </row>
    <row r="234" spans="1:17" x14ac:dyDescent="0.35">
      <c r="A234">
        <v>233</v>
      </c>
      <c r="B234" s="2"/>
      <c r="C234" t="str">
        <f>_xlfn.XLOOKUP(tblAlocacao[[#This Row],[TURMA]],tblTurmas[CODIGO_TURMA],tblTurmas[ID_TURMA],"")</f>
        <v/>
      </c>
      <c r="E234" t="str">
        <f>_xlfn.XLOOKUP(tblAlocacao[[#This Row],[DISCIPLINA]],tblDisciplinas[NOME_DISCIPLINA],tblDisciplinas[ID_DISCIPLINA],"")</f>
        <v/>
      </c>
      <c r="F234" s="40"/>
      <c r="G234" t="str">
        <f>_xlfn.XLOOKUP(tblAlocacao[[#This Row],[Nome do Instrutor]],tblInstrutores[NOME_COMPLETO],tblInstrutores[ID],"")</f>
        <v/>
      </c>
      <c r="H234" t="str">
        <f>_xlfn.XLOOKUP(tblAlocacao[[#This Row],[TURMA]],tblTurmas[CODIGO_TURMA],tblTurmas[INSTRUTOR],"")</f>
        <v/>
      </c>
      <c r="I234" t="str">
        <f>_xlfn.XLOOKUP(tblAlocacao[[#This Row],[AMBIENTE]],tblAmbientes[NOME_AMBIENTE],tblAmbientes[ID],"")</f>
        <v/>
      </c>
      <c r="K234" t="str">
        <f>_xlfn.XLOOKUP(tblAlocacao[[#This Row],['#VALOR!]],tblTurnos[TURNO],tblTurnos[ID_TURNO],"")</f>
        <v/>
      </c>
      <c r="L234" t="str">
        <f>_xlfn.XLOOKUP(tblAlocacao[[#This Row],[TURMA]],tblTurmas[CODIGO_TURMA],tblTurmas[TURNO],"")</f>
        <v/>
      </c>
      <c r="M234" t="str">
        <f>_xlfn.XLOOKUP(tblAlocacao[[#This Row],[MODALIDADE]], tblModalidades[MODALIDADE], tblModalidades[ID_MODALIDADE],"")</f>
        <v/>
      </c>
      <c r="O234" s="32"/>
      <c r="P234" s="32"/>
      <c r="Q234" s="33" t="e">
        <f>($P234-$O234)-_xlfn.XLOOKUP(tblAlocacao[[#This Row],[TURMA]],tblTurmas[CODIGO_TURMA],tblTurmas[INTERVALO],"")</f>
        <v>#VALUE!</v>
      </c>
    </row>
    <row r="235" spans="1:17" x14ac:dyDescent="0.35">
      <c r="A235">
        <v>234</v>
      </c>
      <c r="B235" s="2"/>
      <c r="C235" t="str">
        <f>_xlfn.XLOOKUP(tblAlocacao[[#This Row],[TURMA]],tblTurmas[CODIGO_TURMA],tblTurmas[ID_TURMA],"")</f>
        <v/>
      </c>
      <c r="E235" t="str">
        <f>_xlfn.XLOOKUP(tblAlocacao[[#This Row],[DISCIPLINA]],tblDisciplinas[NOME_DISCIPLINA],tblDisciplinas[ID_DISCIPLINA],"")</f>
        <v/>
      </c>
      <c r="F235" s="40"/>
      <c r="G235" t="str">
        <f>_xlfn.XLOOKUP(tblAlocacao[[#This Row],[Nome do Instrutor]],tblInstrutores[NOME_COMPLETO],tblInstrutores[ID],"")</f>
        <v/>
      </c>
      <c r="H235" t="str">
        <f>_xlfn.XLOOKUP(tblAlocacao[[#This Row],[TURMA]],tblTurmas[CODIGO_TURMA],tblTurmas[INSTRUTOR],"")</f>
        <v/>
      </c>
      <c r="I235" t="str">
        <f>_xlfn.XLOOKUP(tblAlocacao[[#This Row],[AMBIENTE]],tblAmbientes[NOME_AMBIENTE],tblAmbientes[ID],"")</f>
        <v/>
      </c>
      <c r="K235" t="str">
        <f>_xlfn.XLOOKUP(tblAlocacao[[#This Row],['#VALOR!]],tblTurnos[TURNO],tblTurnos[ID_TURNO],"")</f>
        <v/>
      </c>
      <c r="L235" t="str">
        <f>_xlfn.XLOOKUP(tblAlocacao[[#This Row],[TURMA]],tblTurmas[CODIGO_TURMA],tblTurmas[TURNO],"")</f>
        <v/>
      </c>
      <c r="M235" t="str">
        <f>_xlfn.XLOOKUP(tblAlocacao[[#This Row],[MODALIDADE]], tblModalidades[MODALIDADE], tblModalidades[ID_MODALIDADE],"")</f>
        <v/>
      </c>
      <c r="O235" s="32"/>
      <c r="P235" s="32"/>
      <c r="Q235" s="33" t="e">
        <f>($P235-$O235)-_xlfn.XLOOKUP(tblAlocacao[[#This Row],[TURMA]],tblTurmas[CODIGO_TURMA],tblTurmas[INTERVALO],"")</f>
        <v>#VALUE!</v>
      </c>
    </row>
    <row r="236" spans="1:17" x14ac:dyDescent="0.35">
      <c r="A236">
        <v>235</v>
      </c>
      <c r="B236" s="2"/>
      <c r="C236" t="str">
        <f>_xlfn.XLOOKUP(tblAlocacao[[#This Row],[TURMA]],tblTurmas[CODIGO_TURMA],tblTurmas[ID_TURMA],"")</f>
        <v/>
      </c>
      <c r="E236" t="str">
        <f>_xlfn.XLOOKUP(tblAlocacao[[#This Row],[DISCIPLINA]],tblDisciplinas[NOME_DISCIPLINA],tblDisciplinas[ID_DISCIPLINA],"")</f>
        <v/>
      </c>
      <c r="F236" s="40"/>
      <c r="G236" t="str">
        <f>_xlfn.XLOOKUP(tblAlocacao[[#This Row],[Nome do Instrutor]],tblInstrutores[NOME_COMPLETO],tblInstrutores[ID],"")</f>
        <v/>
      </c>
      <c r="H236" t="str">
        <f>_xlfn.XLOOKUP(tblAlocacao[[#This Row],[TURMA]],tblTurmas[CODIGO_TURMA],tblTurmas[INSTRUTOR],"")</f>
        <v/>
      </c>
      <c r="I236" t="str">
        <f>_xlfn.XLOOKUP(tblAlocacao[[#This Row],[AMBIENTE]],tblAmbientes[NOME_AMBIENTE],tblAmbientes[ID],"")</f>
        <v/>
      </c>
      <c r="K236" t="str">
        <f>_xlfn.XLOOKUP(tblAlocacao[[#This Row],['#VALOR!]],tblTurnos[TURNO],tblTurnos[ID_TURNO],"")</f>
        <v/>
      </c>
      <c r="L236" t="str">
        <f>_xlfn.XLOOKUP(tblAlocacao[[#This Row],[TURMA]],tblTurmas[CODIGO_TURMA],tblTurmas[TURNO],"")</f>
        <v/>
      </c>
      <c r="M236" t="str">
        <f>_xlfn.XLOOKUP(tblAlocacao[[#This Row],[MODALIDADE]], tblModalidades[MODALIDADE], tblModalidades[ID_MODALIDADE],"")</f>
        <v/>
      </c>
      <c r="O236" s="32"/>
      <c r="P236" s="32"/>
      <c r="Q236" s="33" t="e">
        <f>($P236-$O236)-_xlfn.XLOOKUP(tblAlocacao[[#This Row],[TURMA]],tblTurmas[CODIGO_TURMA],tblTurmas[INTERVALO],"")</f>
        <v>#VALUE!</v>
      </c>
    </row>
    <row r="237" spans="1:17" x14ac:dyDescent="0.35">
      <c r="A237">
        <v>236</v>
      </c>
      <c r="B237" s="2"/>
      <c r="C237" t="str">
        <f>_xlfn.XLOOKUP(tblAlocacao[[#This Row],[TURMA]],tblTurmas[CODIGO_TURMA],tblTurmas[ID_TURMA],"")</f>
        <v/>
      </c>
      <c r="E237" t="str">
        <f>_xlfn.XLOOKUP(tblAlocacao[[#This Row],[DISCIPLINA]],tblDisciplinas[NOME_DISCIPLINA],tblDisciplinas[ID_DISCIPLINA],"")</f>
        <v/>
      </c>
      <c r="F237" s="40"/>
      <c r="G237" t="str">
        <f>_xlfn.XLOOKUP(tblAlocacao[[#This Row],[Nome do Instrutor]],tblInstrutores[NOME_COMPLETO],tblInstrutores[ID],"")</f>
        <v/>
      </c>
      <c r="H237" t="str">
        <f>_xlfn.XLOOKUP(tblAlocacao[[#This Row],[TURMA]],tblTurmas[CODIGO_TURMA],tblTurmas[INSTRUTOR],"")</f>
        <v/>
      </c>
      <c r="I237" t="str">
        <f>_xlfn.XLOOKUP(tblAlocacao[[#This Row],[AMBIENTE]],tblAmbientes[NOME_AMBIENTE],tblAmbientes[ID],"")</f>
        <v/>
      </c>
      <c r="K237" t="str">
        <f>_xlfn.XLOOKUP(tblAlocacao[[#This Row],['#VALOR!]],tblTurnos[TURNO],tblTurnos[ID_TURNO],"")</f>
        <v/>
      </c>
      <c r="L237" t="str">
        <f>_xlfn.XLOOKUP(tblAlocacao[[#This Row],[TURMA]],tblTurmas[CODIGO_TURMA],tblTurmas[TURNO],"")</f>
        <v/>
      </c>
      <c r="M237" t="str">
        <f>_xlfn.XLOOKUP(tblAlocacao[[#This Row],[MODALIDADE]], tblModalidades[MODALIDADE], tblModalidades[ID_MODALIDADE],"")</f>
        <v/>
      </c>
      <c r="O237" s="32"/>
      <c r="P237" s="32"/>
      <c r="Q237" s="33" t="e">
        <f>($P237-$O237)-_xlfn.XLOOKUP(tblAlocacao[[#This Row],[TURMA]],tblTurmas[CODIGO_TURMA],tblTurmas[INTERVALO],"")</f>
        <v>#VALUE!</v>
      </c>
    </row>
    <row r="238" spans="1:17" x14ac:dyDescent="0.35">
      <c r="A238">
        <v>237</v>
      </c>
      <c r="B238" s="2"/>
      <c r="C238" t="str">
        <f>_xlfn.XLOOKUP(tblAlocacao[[#This Row],[TURMA]],tblTurmas[CODIGO_TURMA],tblTurmas[ID_TURMA],"")</f>
        <v/>
      </c>
      <c r="E238" t="str">
        <f>_xlfn.XLOOKUP(tblAlocacao[[#This Row],[DISCIPLINA]],tblDisciplinas[NOME_DISCIPLINA],tblDisciplinas[ID_DISCIPLINA],"")</f>
        <v/>
      </c>
      <c r="F238" s="40"/>
      <c r="G238" t="str">
        <f>_xlfn.XLOOKUP(tblAlocacao[[#This Row],[Nome do Instrutor]],tblInstrutores[NOME_COMPLETO],tblInstrutores[ID],"")</f>
        <v/>
      </c>
      <c r="H238" t="str">
        <f>_xlfn.XLOOKUP(tblAlocacao[[#This Row],[TURMA]],tblTurmas[CODIGO_TURMA],tblTurmas[INSTRUTOR],"")</f>
        <v/>
      </c>
      <c r="I238" t="str">
        <f>_xlfn.XLOOKUP(tblAlocacao[[#This Row],[AMBIENTE]],tblAmbientes[NOME_AMBIENTE],tblAmbientes[ID],"")</f>
        <v/>
      </c>
      <c r="K238" t="str">
        <f>_xlfn.XLOOKUP(tblAlocacao[[#This Row],['#VALOR!]],tblTurnos[TURNO],tblTurnos[ID_TURNO],"")</f>
        <v/>
      </c>
      <c r="L238" t="str">
        <f>_xlfn.XLOOKUP(tblAlocacao[[#This Row],[TURMA]],tblTurmas[CODIGO_TURMA],tblTurmas[TURNO],"")</f>
        <v/>
      </c>
      <c r="M238" t="str">
        <f>_xlfn.XLOOKUP(tblAlocacao[[#This Row],[MODALIDADE]], tblModalidades[MODALIDADE], tblModalidades[ID_MODALIDADE],"")</f>
        <v/>
      </c>
      <c r="O238" s="32"/>
      <c r="P238" s="32"/>
      <c r="Q238" s="33" t="e">
        <f>($P238-$O238)-_xlfn.XLOOKUP(tblAlocacao[[#This Row],[TURMA]],tblTurmas[CODIGO_TURMA],tblTurmas[INTERVALO],"")</f>
        <v>#VALUE!</v>
      </c>
    </row>
    <row r="239" spans="1:17" x14ac:dyDescent="0.35">
      <c r="A239">
        <v>238</v>
      </c>
      <c r="B239" s="2"/>
      <c r="C239" t="str">
        <f>_xlfn.XLOOKUP(tblAlocacao[[#This Row],[TURMA]],tblTurmas[CODIGO_TURMA],tblTurmas[ID_TURMA],"")</f>
        <v/>
      </c>
      <c r="E239" t="str">
        <f>_xlfn.XLOOKUP(tblAlocacao[[#This Row],[DISCIPLINA]],tblDisciplinas[NOME_DISCIPLINA],tblDisciplinas[ID_DISCIPLINA],"")</f>
        <v/>
      </c>
      <c r="F239" s="40"/>
      <c r="G239" t="str">
        <f>_xlfn.XLOOKUP(tblAlocacao[[#This Row],[Nome do Instrutor]],tblInstrutores[NOME_COMPLETO],tblInstrutores[ID],"")</f>
        <v/>
      </c>
      <c r="H239" t="str">
        <f>_xlfn.XLOOKUP(tblAlocacao[[#This Row],[TURMA]],tblTurmas[CODIGO_TURMA],tblTurmas[INSTRUTOR],"")</f>
        <v/>
      </c>
      <c r="I239" t="str">
        <f>_xlfn.XLOOKUP(tblAlocacao[[#This Row],[AMBIENTE]],tblAmbientes[NOME_AMBIENTE],tblAmbientes[ID],"")</f>
        <v/>
      </c>
      <c r="K239" t="str">
        <f>_xlfn.XLOOKUP(tblAlocacao[[#This Row],['#VALOR!]],tblTurnos[TURNO],tblTurnos[ID_TURNO],"")</f>
        <v/>
      </c>
      <c r="L239" t="str">
        <f>_xlfn.XLOOKUP(tblAlocacao[[#This Row],[TURMA]],tblTurmas[CODIGO_TURMA],tblTurmas[TURNO],"")</f>
        <v/>
      </c>
      <c r="M239" t="str">
        <f>_xlfn.XLOOKUP(tblAlocacao[[#This Row],[MODALIDADE]], tblModalidades[MODALIDADE], tblModalidades[ID_MODALIDADE],"")</f>
        <v/>
      </c>
      <c r="O239" s="32"/>
      <c r="P239" s="32"/>
      <c r="Q239" s="33" t="e">
        <f>($P239-$O239)-_xlfn.XLOOKUP(tblAlocacao[[#This Row],[TURMA]],tblTurmas[CODIGO_TURMA],tblTurmas[INTERVALO],"")</f>
        <v>#VALUE!</v>
      </c>
    </row>
    <row r="240" spans="1:17" x14ac:dyDescent="0.35">
      <c r="A240">
        <v>239</v>
      </c>
      <c r="B240" s="2"/>
      <c r="C240" t="str">
        <f>_xlfn.XLOOKUP(tblAlocacao[[#This Row],[TURMA]],tblTurmas[CODIGO_TURMA],tblTurmas[ID_TURMA],"")</f>
        <v/>
      </c>
      <c r="E240" t="str">
        <f>_xlfn.XLOOKUP(tblAlocacao[[#This Row],[DISCIPLINA]],tblDisciplinas[NOME_DISCIPLINA],tblDisciplinas[ID_DISCIPLINA],"")</f>
        <v/>
      </c>
      <c r="F240" s="40"/>
      <c r="G240" t="str">
        <f>_xlfn.XLOOKUP(tblAlocacao[[#This Row],[Nome do Instrutor]],tblInstrutores[NOME_COMPLETO],tblInstrutores[ID],"")</f>
        <v/>
      </c>
      <c r="H240" t="str">
        <f>_xlfn.XLOOKUP(tblAlocacao[[#This Row],[TURMA]],tblTurmas[CODIGO_TURMA],tblTurmas[INSTRUTOR],"")</f>
        <v/>
      </c>
      <c r="I240" t="str">
        <f>_xlfn.XLOOKUP(tblAlocacao[[#This Row],[AMBIENTE]],tblAmbientes[NOME_AMBIENTE],tblAmbientes[ID],"")</f>
        <v/>
      </c>
      <c r="K240" t="str">
        <f>_xlfn.XLOOKUP(tblAlocacao[[#This Row],['#VALOR!]],tblTurnos[TURNO],tblTurnos[ID_TURNO],"")</f>
        <v/>
      </c>
      <c r="L240" t="str">
        <f>_xlfn.XLOOKUP(tblAlocacao[[#This Row],[TURMA]],tblTurmas[CODIGO_TURMA],tblTurmas[TURNO],"")</f>
        <v/>
      </c>
      <c r="M240" t="str">
        <f>_xlfn.XLOOKUP(tblAlocacao[[#This Row],[MODALIDADE]], tblModalidades[MODALIDADE], tblModalidades[ID_MODALIDADE],"")</f>
        <v/>
      </c>
      <c r="O240" s="32"/>
      <c r="P240" s="32"/>
      <c r="Q240" s="33" t="e">
        <f>($P240-$O240)-_xlfn.XLOOKUP(tblAlocacao[[#This Row],[TURMA]],tblTurmas[CODIGO_TURMA],tblTurmas[INTERVALO],"")</f>
        <v>#VALUE!</v>
      </c>
    </row>
    <row r="241" spans="1:17" x14ac:dyDescent="0.35">
      <c r="A241">
        <v>240</v>
      </c>
      <c r="B241" s="2"/>
      <c r="C241" t="str">
        <f>_xlfn.XLOOKUP(tblAlocacao[[#This Row],[TURMA]],tblTurmas[CODIGO_TURMA],tblTurmas[ID_TURMA],"")</f>
        <v/>
      </c>
      <c r="E241" t="str">
        <f>_xlfn.XLOOKUP(tblAlocacao[[#This Row],[DISCIPLINA]],tblDisciplinas[NOME_DISCIPLINA],tblDisciplinas[ID_DISCIPLINA],"")</f>
        <v/>
      </c>
      <c r="F241" s="40"/>
      <c r="G241" t="str">
        <f>_xlfn.XLOOKUP(tblAlocacao[[#This Row],[Nome do Instrutor]],tblInstrutores[NOME_COMPLETO],tblInstrutores[ID],"")</f>
        <v/>
      </c>
      <c r="H241" t="str">
        <f>_xlfn.XLOOKUP(tblAlocacao[[#This Row],[TURMA]],tblTurmas[CODIGO_TURMA],tblTurmas[INSTRUTOR],"")</f>
        <v/>
      </c>
      <c r="I241" t="str">
        <f>_xlfn.XLOOKUP(tblAlocacao[[#This Row],[AMBIENTE]],tblAmbientes[NOME_AMBIENTE],tblAmbientes[ID],"")</f>
        <v/>
      </c>
      <c r="K241" t="str">
        <f>_xlfn.XLOOKUP(tblAlocacao[[#This Row],['#VALOR!]],tblTurnos[TURNO],tblTurnos[ID_TURNO],"")</f>
        <v/>
      </c>
      <c r="L241" t="str">
        <f>_xlfn.XLOOKUP(tblAlocacao[[#This Row],[TURMA]],tblTurmas[CODIGO_TURMA],tblTurmas[TURNO],"")</f>
        <v/>
      </c>
      <c r="M241" t="str">
        <f>_xlfn.XLOOKUP(tblAlocacao[[#This Row],[MODALIDADE]], tblModalidades[MODALIDADE], tblModalidades[ID_MODALIDADE],"")</f>
        <v/>
      </c>
      <c r="O241" s="32"/>
      <c r="P241" s="32"/>
      <c r="Q241" s="33" t="e">
        <f>($P241-$O241)-_xlfn.XLOOKUP(tblAlocacao[[#This Row],[TURMA]],tblTurmas[CODIGO_TURMA],tblTurmas[INTERVALO],"")</f>
        <v>#VALUE!</v>
      </c>
    </row>
    <row r="242" spans="1:17" x14ac:dyDescent="0.35">
      <c r="A242">
        <v>241</v>
      </c>
      <c r="B242" s="2"/>
      <c r="C242" t="str">
        <f>_xlfn.XLOOKUP(tblAlocacao[[#This Row],[TURMA]],tblTurmas[CODIGO_TURMA],tblTurmas[ID_TURMA],"")</f>
        <v/>
      </c>
      <c r="E242" t="str">
        <f>_xlfn.XLOOKUP(tblAlocacao[[#This Row],[DISCIPLINA]],tblDisciplinas[NOME_DISCIPLINA],tblDisciplinas[ID_DISCIPLINA],"")</f>
        <v/>
      </c>
      <c r="F242" s="40"/>
      <c r="G242" t="str">
        <f>_xlfn.XLOOKUP(tblAlocacao[[#This Row],[Nome do Instrutor]],tblInstrutores[NOME_COMPLETO],tblInstrutores[ID],"")</f>
        <v/>
      </c>
      <c r="H242" t="str">
        <f>_xlfn.XLOOKUP(tblAlocacao[[#This Row],[TURMA]],tblTurmas[CODIGO_TURMA],tblTurmas[INSTRUTOR],"")</f>
        <v/>
      </c>
      <c r="I242" t="str">
        <f>_xlfn.XLOOKUP(tblAlocacao[[#This Row],[AMBIENTE]],tblAmbientes[NOME_AMBIENTE],tblAmbientes[ID],"")</f>
        <v/>
      </c>
      <c r="K242" t="str">
        <f>_xlfn.XLOOKUP(tblAlocacao[[#This Row],['#VALOR!]],tblTurnos[TURNO],tblTurnos[ID_TURNO],"")</f>
        <v/>
      </c>
      <c r="L242" t="str">
        <f>_xlfn.XLOOKUP(tblAlocacao[[#This Row],[TURMA]],tblTurmas[CODIGO_TURMA],tblTurmas[TURNO],"")</f>
        <v/>
      </c>
      <c r="M242" t="str">
        <f>_xlfn.XLOOKUP(tblAlocacao[[#This Row],[MODALIDADE]], tblModalidades[MODALIDADE], tblModalidades[ID_MODALIDADE],"")</f>
        <v/>
      </c>
      <c r="O242" s="32"/>
      <c r="P242" s="32"/>
      <c r="Q242" s="33" t="e">
        <f>($P242-$O242)-_xlfn.XLOOKUP(tblAlocacao[[#This Row],[TURMA]],tblTurmas[CODIGO_TURMA],tblTurmas[INTERVALO],"")</f>
        <v>#VALUE!</v>
      </c>
    </row>
    <row r="243" spans="1:17" x14ac:dyDescent="0.35">
      <c r="A243">
        <v>242</v>
      </c>
      <c r="B243" s="2"/>
      <c r="C243" t="str">
        <f>_xlfn.XLOOKUP(tblAlocacao[[#This Row],[TURMA]],tblTurmas[CODIGO_TURMA],tblTurmas[ID_TURMA],"")</f>
        <v/>
      </c>
      <c r="E243" t="str">
        <f>_xlfn.XLOOKUP(tblAlocacao[[#This Row],[DISCIPLINA]],tblDisciplinas[NOME_DISCIPLINA],tblDisciplinas[ID_DISCIPLINA],"")</f>
        <v/>
      </c>
      <c r="F243" s="40"/>
      <c r="G243" t="str">
        <f>_xlfn.XLOOKUP(tblAlocacao[[#This Row],[Nome do Instrutor]],tblInstrutores[NOME_COMPLETO],tblInstrutores[ID],"")</f>
        <v/>
      </c>
      <c r="H243" t="str">
        <f>_xlfn.XLOOKUP(tblAlocacao[[#This Row],[TURMA]],tblTurmas[CODIGO_TURMA],tblTurmas[INSTRUTOR],"")</f>
        <v/>
      </c>
      <c r="I243" t="str">
        <f>_xlfn.XLOOKUP(tblAlocacao[[#This Row],[AMBIENTE]],tblAmbientes[NOME_AMBIENTE],tblAmbientes[ID],"")</f>
        <v/>
      </c>
      <c r="K243" t="str">
        <f>_xlfn.XLOOKUP(tblAlocacao[[#This Row],['#VALOR!]],tblTurnos[TURNO],tblTurnos[ID_TURNO],"")</f>
        <v/>
      </c>
      <c r="L243" t="str">
        <f>_xlfn.XLOOKUP(tblAlocacao[[#This Row],[TURMA]],tblTurmas[CODIGO_TURMA],tblTurmas[TURNO],"")</f>
        <v/>
      </c>
      <c r="M243" t="str">
        <f>_xlfn.XLOOKUP(tblAlocacao[[#This Row],[MODALIDADE]], tblModalidades[MODALIDADE], tblModalidades[ID_MODALIDADE],"")</f>
        <v/>
      </c>
      <c r="O243" s="32"/>
      <c r="P243" s="32"/>
      <c r="Q243" s="33" t="e">
        <f>($P243-$O243)-_xlfn.XLOOKUP(tblAlocacao[[#This Row],[TURMA]],tblTurmas[CODIGO_TURMA],tblTurmas[INTERVALO],"")</f>
        <v>#VALUE!</v>
      </c>
    </row>
    <row r="244" spans="1:17" x14ac:dyDescent="0.35">
      <c r="A244">
        <v>243</v>
      </c>
      <c r="B244" s="2"/>
      <c r="C244" t="str">
        <f>_xlfn.XLOOKUP(tblAlocacao[[#This Row],[TURMA]],tblTurmas[CODIGO_TURMA],tblTurmas[ID_TURMA],"")</f>
        <v/>
      </c>
      <c r="E244" t="str">
        <f>_xlfn.XLOOKUP(tblAlocacao[[#This Row],[DISCIPLINA]],tblDisciplinas[NOME_DISCIPLINA],tblDisciplinas[ID_DISCIPLINA],"")</f>
        <v/>
      </c>
      <c r="F244" s="40"/>
      <c r="G244" t="str">
        <f>_xlfn.XLOOKUP(tblAlocacao[[#This Row],[Nome do Instrutor]],tblInstrutores[NOME_COMPLETO],tblInstrutores[ID],"")</f>
        <v/>
      </c>
      <c r="H244" t="str">
        <f>_xlfn.XLOOKUP(tblAlocacao[[#This Row],[TURMA]],tblTurmas[CODIGO_TURMA],tblTurmas[INSTRUTOR],"")</f>
        <v/>
      </c>
      <c r="I244" t="str">
        <f>_xlfn.XLOOKUP(tblAlocacao[[#This Row],[AMBIENTE]],tblAmbientes[NOME_AMBIENTE],tblAmbientes[ID],"")</f>
        <v/>
      </c>
      <c r="K244" t="str">
        <f>_xlfn.XLOOKUP(tblAlocacao[[#This Row],['#VALOR!]],tblTurnos[TURNO],tblTurnos[ID_TURNO],"")</f>
        <v/>
      </c>
      <c r="L244" t="str">
        <f>_xlfn.XLOOKUP(tblAlocacao[[#This Row],[TURMA]],tblTurmas[CODIGO_TURMA],tblTurmas[TURNO],"")</f>
        <v/>
      </c>
      <c r="M244" t="str">
        <f>_xlfn.XLOOKUP(tblAlocacao[[#This Row],[MODALIDADE]], tblModalidades[MODALIDADE], tblModalidades[ID_MODALIDADE],"")</f>
        <v/>
      </c>
      <c r="O244" s="32"/>
      <c r="P244" s="32"/>
      <c r="Q244" s="33" t="e">
        <f>($P244-$O244)-_xlfn.XLOOKUP(tblAlocacao[[#This Row],[TURMA]],tblTurmas[CODIGO_TURMA],tblTurmas[INTERVALO],"")</f>
        <v>#VALUE!</v>
      </c>
    </row>
    <row r="245" spans="1:17" x14ac:dyDescent="0.35">
      <c r="A245">
        <v>244</v>
      </c>
      <c r="B245" s="2"/>
      <c r="C245" t="str">
        <f>_xlfn.XLOOKUP(tblAlocacao[[#This Row],[TURMA]],tblTurmas[CODIGO_TURMA],tblTurmas[ID_TURMA],"")</f>
        <v/>
      </c>
      <c r="E245" t="str">
        <f>_xlfn.XLOOKUP(tblAlocacao[[#This Row],[DISCIPLINA]],tblDisciplinas[NOME_DISCIPLINA],tblDisciplinas[ID_DISCIPLINA],"")</f>
        <v/>
      </c>
      <c r="F245" s="40"/>
      <c r="G245" t="str">
        <f>_xlfn.XLOOKUP(tblAlocacao[[#This Row],[Nome do Instrutor]],tblInstrutores[NOME_COMPLETO],tblInstrutores[ID],"")</f>
        <v/>
      </c>
      <c r="H245" t="str">
        <f>_xlfn.XLOOKUP(tblAlocacao[[#This Row],[TURMA]],tblTurmas[CODIGO_TURMA],tblTurmas[INSTRUTOR],"")</f>
        <v/>
      </c>
      <c r="I245" t="str">
        <f>_xlfn.XLOOKUP(tblAlocacao[[#This Row],[AMBIENTE]],tblAmbientes[NOME_AMBIENTE],tblAmbientes[ID],"")</f>
        <v/>
      </c>
      <c r="K245" t="str">
        <f>_xlfn.XLOOKUP(tblAlocacao[[#This Row],['#VALOR!]],tblTurnos[TURNO],tblTurnos[ID_TURNO],"")</f>
        <v/>
      </c>
      <c r="L245" t="str">
        <f>_xlfn.XLOOKUP(tblAlocacao[[#This Row],[TURMA]],tblTurmas[CODIGO_TURMA],tblTurmas[TURNO],"")</f>
        <v/>
      </c>
      <c r="M245" t="str">
        <f>_xlfn.XLOOKUP(tblAlocacao[[#This Row],[MODALIDADE]], tblModalidades[MODALIDADE], tblModalidades[ID_MODALIDADE],"")</f>
        <v/>
      </c>
      <c r="O245" s="32"/>
      <c r="P245" s="32"/>
      <c r="Q245" s="33" t="e">
        <f>($P245-$O245)-_xlfn.XLOOKUP(tblAlocacao[[#This Row],[TURMA]],tblTurmas[CODIGO_TURMA],tblTurmas[INTERVALO],"")</f>
        <v>#VALUE!</v>
      </c>
    </row>
    <row r="246" spans="1:17" x14ac:dyDescent="0.35">
      <c r="A246">
        <v>245</v>
      </c>
      <c r="B246" s="2"/>
      <c r="C246" t="str">
        <f>_xlfn.XLOOKUP(tblAlocacao[[#This Row],[TURMA]],tblTurmas[CODIGO_TURMA],tblTurmas[ID_TURMA],"")</f>
        <v/>
      </c>
      <c r="E246" t="str">
        <f>_xlfn.XLOOKUP(tblAlocacao[[#This Row],[DISCIPLINA]],tblDisciplinas[NOME_DISCIPLINA],tblDisciplinas[ID_DISCIPLINA],"")</f>
        <v/>
      </c>
      <c r="F246" s="40"/>
      <c r="G246" t="str">
        <f>_xlfn.XLOOKUP(tblAlocacao[[#This Row],[Nome do Instrutor]],tblInstrutores[NOME_COMPLETO],tblInstrutores[ID],"")</f>
        <v/>
      </c>
      <c r="H246" t="str">
        <f>_xlfn.XLOOKUP(tblAlocacao[[#This Row],[TURMA]],tblTurmas[CODIGO_TURMA],tblTurmas[INSTRUTOR],"")</f>
        <v/>
      </c>
      <c r="I246" t="str">
        <f>_xlfn.XLOOKUP(tblAlocacao[[#This Row],[AMBIENTE]],tblAmbientes[NOME_AMBIENTE],tblAmbientes[ID],"")</f>
        <v/>
      </c>
      <c r="K246" t="str">
        <f>_xlfn.XLOOKUP(tblAlocacao[[#This Row],['#VALOR!]],tblTurnos[TURNO],tblTurnos[ID_TURNO],"")</f>
        <v/>
      </c>
      <c r="L246" t="str">
        <f>_xlfn.XLOOKUP(tblAlocacao[[#This Row],[TURMA]],tblTurmas[CODIGO_TURMA],tblTurmas[TURNO],"")</f>
        <v/>
      </c>
      <c r="M246" t="str">
        <f>_xlfn.XLOOKUP(tblAlocacao[[#This Row],[MODALIDADE]], tblModalidades[MODALIDADE], tblModalidades[ID_MODALIDADE],"")</f>
        <v/>
      </c>
      <c r="O246" s="32"/>
      <c r="P246" s="32"/>
      <c r="Q246" s="33" t="e">
        <f>($P246-$O246)-_xlfn.XLOOKUP(tblAlocacao[[#This Row],[TURMA]],tblTurmas[CODIGO_TURMA],tblTurmas[INTERVALO],"")</f>
        <v>#VALUE!</v>
      </c>
    </row>
    <row r="247" spans="1:17" x14ac:dyDescent="0.35">
      <c r="A247">
        <v>246</v>
      </c>
      <c r="B247" s="2"/>
      <c r="C247" t="str">
        <f>_xlfn.XLOOKUP(tblAlocacao[[#This Row],[TURMA]],tblTurmas[CODIGO_TURMA],tblTurmas[ID_TURMA],"")</f>
        <v/>
      </c>
      <c r="E247" t="str">
        <f>_xlfn.XLOOKUP(tblAlocacao[[#This Row],[DISCIPLINA]],tblDisciplinas[NOME_DISCIPLINA],tblDisciplinas[ID_DISCIPLINA],"")</f>
        <v/>
      </c>
      <c r="F247" s="40"/>
      <c r="G247" t="str">
        <f>_xlfn.XLOOKUP(tblAlocacao[[#This Row],[Nome do Instrutor]],tblInstrutores[NOME_COMPLETO],tblInstrutores[ID],"")</f>
        <v/>
      </c>
      <c r="H247" t="str">
        <f>_xlfn.XLOOKUP(tblAlocacao[[#This Row],[TURMA]],tblTurmas[CODIGO_TURMA],tblTurmas[INSTRUTOR],"")</f>
        <v/>
      </c>
      <c r="I247" t="str">
        <f>_xlfn.XLOOKUP(tblAlocacao[[#This Row],[AMBIENTE]],tblAmbientes[NOME_AMBIENTE],tblAmbientes[ID],"")</f>
        <v/>
      </c>
      <c r="K247" t="str">
        <f>_xlfn.XLOOKUP(tblAlocacao[[#This Row],['#VALOR!]],tblTurnos[TURNO],tblTurnos[ID_TURNO],"")</f>
        <v/>
      </c>
      <c r="L247" t="str">
        <f>_xlfn.XLOOKUP(tblAlocacao[[#This Row],[TURMA]],tblTurmas[CODIGO_TURMA],tblTurmas[TURNO],"")</f>
        <v/>
      </c>
      <c r="M247" t="str">
        <f>_xlfn.XLOOKUP(tblAlocacao[[#This Row],[MODALIDADE]], tblModalidades[MODALIDADE], tblModalidades[ID_MODALIDADE],"")</f>
        <v/>
      </c>
      <c r="O247" s="32"/>
      <c r="P247" s="32"/>
      <c r="Q247" s="33" t="e">
        <f>($P247-$O247)-_xlfn.XLOOKUP(tblAlocacao[[#This Row],[TURMA]],tblTurmas[CODIGO_TURMA],tblTurmas[INTERVALO],"")</f>
        <v>#VALUE!</v>
      </c>
    </row>
    <row r="248" spans="1:17" x14ac:dyDescent="0.35">
      <c r="A248">
        <v>247</v>
      </c>
      <c r="B248" s="2"/>
      <c r="C248" t="str">
        <f>_xlfn.XLOOKUP(tblAlocacao[[#This Row],[TURMA]],tblTurmas[CODIGO_TURMA],tblTurmas[ID_TURMA],"")</f>
        <v/>
      </c>
      <c r="E248" t="str">
        <f>_xlfn.XLOOKUP(tblAlocacao[[#This Row],[DISCIPLINA]],tblDisciplinas[NOME_DISCIPLINA],tblDisciplinas[ID_DISCIPLINA],"")</f>
        <v/>
      </c>
      <c r="F248" s="40"/>
      <c r="G248" t="str">
        <f>_xlfn.XLOOKUP(tblAlocacao[[#This Row],[Nome do Instrutor]],tblInstrutores[NOME_COMPLETO],tblInstrutores[ID],"")</f>
        <v/>
      </c>
      <c r="H248" t="str">
        <f>_xlfn.XLOOKUP(tblAlocacao[[#This Row],[TURMA]],tblTurmas[CODIGO_TURMA],tblTurmas[INSTRUTOR],"")</f>
        <v/>
      </c>
      <c r="I248" t="str">
        <f>_xlfn.XLOOKUP(tblAlocacao[[#This Row],[AMBIENTE]],tblAmbientes[NOME_AMBIENTE],tblAmbientes[ID],"")</f>
        <v/>
      </c>
      <c r="K248" t="str">
        <f>_xlfn.XLOOKUP(tblAlocacao[[#This Row],['#VALOR!]],tblTurnos[TURNO],tblTurnos[ID_TURNO],"")</f>
        <v/>
      </c>
      <c r="L248" t="str">
        <f>_xlfn.XLOOKUP(tblAlocacao[[#This Row],[TURMA]],tblTurmas[CODIGO_TURMA],tblTurmas[TURNO],"")</f>
        <v/>
      </c>
      <c r="M248" t="str">
        <f>_xlfn.XLOOKUP(tblAlocacao[[#This Row],[MODALIDADE]], tblModalidades[MODALIDADE], tblModalidades[ID_MODALIDADE],"")</f>
        <v/>
      </c>
      <c r="O248" s="32"/>
      <c r="P248" s="32"/>
      <c r="Q248" s="33" t="e">
        <f>($P248-$O248)-_xlfn.XLOOKUP(tblAlocacao[[#This Row],[TURMA]],tblTurmas[CODIGO_TURMA],tblTurmas[INTERVALO],"")</f>
        <v>#VALUE!</v>
      </c>
    </row>
    <row r="249" spans="1:17" x14ac:dyDescent="0.35">
      <c r="A249">
        <v>248</v>
      </c>
      <c r="B249" s="2"/>
      <c r="C249" t="str">
        <f>_xlfn.XLOOKUP(tblAlocacao[[#This Row],[TURMA]],tblTurmas[CODIGO_TURMA],tblTurmas[ID_TURMA],"")</f>
        <v/>
      </c>
      <c r="E249" t="str">
        <f>_xlfn.XLOOKUP(tblAlocacao[[#This Row],[DISCIPLINA]],tblDisciplinas[NOME_DISCIPLINA],tblDisciplinas[ID_DISCIPLINA],"")</f>
        <v/>
      </c>
      <c r="F249" s="40"/>
      <c r="G249" t="str">
        <f>_xlfn.XLOOKUP(tblAlocacao[[#This Row],[Nome do Instrutor]],tblInstrutores[NOME_COMPLETO],tblInstrutores[ID],"")</f>
        <v/>
      </c>
      <c r="H249" t="str">
        <f>_xlfn.XLOOKUP(tblAlocacao[[#This Row],[TURMA]],tblTurmas[CODIGO_TURMA],tblTurmas[INSTRUTOR],"")</f>
        <v/>
      </c>
      <c r="I249" t="str">
        <f>_xlfn.XLOOKUP(tblAlocacao[[#This Row],[AMBIENTE]],tblAmbientes[NOME_AMBIENTE],tblAmbientes[ID],"")</f>
        <v/>
      </c>
      <c r="K249" t="str">
        <f>_xlfn.XLOOKUP(tblAlocacao[[#This Row],['#VALOR!]],tblTurnos[TURNO],tblTurnos[ID_TURNO],"")</f>
        <v/>
      </c>
      <c r="L249" t="str">
        <f>_xlfn.XLOOKUP(tblAlocacao[[#This Row],[TURMA]],tblTurmas[CODIGO_TURMA],tblTurmas[TURNO],"")</f>
        <v/>
      </c>
      <c r="M249" t="str">
        <f>_xlfn.XLOOKUP(tblAlocacao[[#This Row],[MODALIDADE]], tblModalidades[MODALIDADE], tblModalidades[ID_MODALIDADE],"")</f>
        <v/>
      </c>
      <c r="O249" s="32"/>
      <c r="P249" s="32"/>
      <c r="Q249" s="33" t="e">
        <f>($P249-$O249)-_xlfn.XLOOKUP(tblAlocacao[[#This Row],[TURMA]],tblTurmas[CODIGO_TURMA],tblTurmas[INTERVALO],"")</f>
        <v>#VALUE!</v>
      </c>
    </row>
    <row r="250" spans="1:17" x14ac:dyDescent="0.35">
      <c r="A250">
        <v>249</v>
      </c>
      <c r="B250" s="2"/>
      <c r="C250" t="str">
        <f>_xlfn.XLOOKUP(tblAlocacao[[#This Row],[TURMA]],tblTurmas[CODIGO_TURMA],tblTurmas[ID_TURMA],"")</f>
        <v/>
      </c>
      <c r="E250" t="str">
        <f>_xlfn.XLOOKUP(tblAlocacao[[#This Row],[DISCIPLINA]],tblDisciplinas[NOME_DISCIPLINA],tblDisciplinas[ID_DISCIPLINA],"")</f>
        <v/>
      </c>
      <c r="F250" s="40"/>
      <c r="G250" t="str">
        <f>_xlfn.XLOOKUP(tblAlocacao[[#This Row],[Nome do Instrutor]],tblInstrutores[NOME_COMPLETO],tblInstrutores[ID],"")</f>
        <v/>
      </c>
      <c r="H250" t="str">
        <f>_xlfn.XLOOKUP(tblAlocacao[[#This Row],[TURMA]],tblTurmas[CODIGO_TURMA],tblTurmas[INSTRUTOR],"")</f>
        <v/>
      </c>
      <c r="I250" t="str">
        <f>_xlfn.XLOOKUP(tblAlocacao[[#This Row],[AMBIENTE]],tblAmbientes[NOME_AMBIENTE],tblAmbientes[ID],"")</f>
        <v/>
      </c>
      <c r="K250" t="str">
        <f>_xlfn.XLOOKUP(tblAlocacao[[#This Row],['#VALOR!]],tblTurnos[TURNO],tblTurnos[ID_TURNO],"")</f>
        <v/>
      </c>
      <c r="L250" t="str">
        <f>_xlfn.XLOOKUP(tblAlocacao[[#This Row],[TURMA]],tblTurmas[CODIGO_TURMA],tblTurmas[TURNO],"")</f>
        <v/>
      </c>
      <c r="M250" t="str">
        <f>_xlfn.XLOOKUP(tblAlocacao[[#This Row],[MODALIDADE]], tblModalidades[MODALIDADE], tblModalidades[ID_MODALIDADE],"")</f>
        <v/>
      </c>
      <c r="O250" s="32"/>
      <c r="P250" s="32"/>
      <c r="Q250" s="33" t="e">
        <f>($P250-$O250)-_xlfn.XLOOKUP(tblAlocacao[[#This Row],[TURMA]],tblTurmas[CODIGO_TURMA],tblTurmas[INTERVALO],"")</f>
        <v>#VALUE!</v>
      </c>
    </row>
    <row r="251" spans="1:17" x14ac:dyDescent="0.35">
      <c r="A251">
        <v>250</v>
      </c>
      <c r="B251" s="2"/>
      <c r="C251" t="str">
        <f>_xlfn.XLOOKUP(tblAlocacao[[#This Row],[TURMA]],tblTurmas[CODIGO_TURMA],tblTurmas[ID_TURMA],"")</f>
        <v/>
      </c>
      <c r="E251" t="str">
        <f>_xlfn.XLOOKUP(tblAlocacao[[#This Row],[DISCIPLINA]],tblDisciplinas[NOME_DISCIPLINA],tblDisciplinas[ID_DISCIPLINA],"")</f>
        <v/>
      </c>
      <c r="F251" s="40"/>
      <c r="G251" t="str">
        <f>_xlfn.XLOOKUP(tblAlocacao[[#This Row],[Nome do Instrutor]],tblInstrutores[NOME_COMPLETO],tblInstrutores[ID],"")</f>
        <v/>
      </c>
      <c r="H251" t="str">
        <f>_xlfn.XLOOKUP(tblAlocacao[[#This Row],[TURMA]],tblTurmas[CODIGO_TURMA],tblTurmas[INSTRUTOR],"")</f>
        <v/>
      </c>
      <c r="I251" t="str">
        <f>_xlfn.XLOOKUP(tblAlocacao[[#This Row],[AMBIENTE]],tblAmbientes[NOME_AMBIENTE],tblAmbientes[ID],"")</f>
        <v/>
      </c>
      <c r="K251" t="str">
        <f>_xlfn.XLOOKUP(tblAlocacao[[#This Row],['#VALOR!]],tblTurnos[TURNO],tblTurnos[ID_TURNO],"")</f>
        <v/>
      </c>
      <c r="L251" t="str">
        <f>_xlfn.XLOOKUP(tblAlocacao[[#This Row],[TURMA]],tblTurmas[CODIGO_TURMA],tblTurmas[TURNO],"")</f>
        <v/>
      </c>
      <c r="M251" t="str">
        <f>_xlfn.XLOOKUP(tblAlocacao[[#This Row],[MODALIDADE]], tblModalidades[MODALIDADE], tblModalidades[ID_MODALIDADE],"")</f>
        <v/>
      </c>
      <c r="O251" s="32"/>
      <c r="P251" s="32"/>
      <c r="Q251" s="33" t="e">
        <f>($P251-$O251)-_xlfn.XLOOKUP(tblAlocacao[[#This Row],[TURMA]],tblTurmas[CODIGO_TURMA],tblTurmas[INTERVALO],"")</f>
        <v>#VALUE!</v>
      </c>
    </row>
    <row r="252" spans="1:17" x14ac:dyDescent="0.35">
      <c r="A252">
        <v>251</v>
      </c>
      <c r="B252" s="2"/>
      <c r="C252" t="str">
        <f>_xlfn.XLOOKUP(tblAlocacao[[#This Row],[TURMA]],tblTurmas[CODIGO_TURMA],tblTurmas[ID_TURMA],"")</f>
        <v/>
      </c>
      <c r="E252" t="str">
        <f>_xlfn.XLOOKUP(tblAlocacao[[#This Row],[DISCIPLINA]],tblDisciplinas[NOME_DISCIPLINA],tblDisciplinas[ID_DISCIPLINA],"")</f>
        <v/>
      </c>
      <c r="F252" s="40"/>
      <c r="G252" t="str">
        <f>_xlfn.XLOOKUP(tblAlocacao[[#This Row],[Nome do Instrutor]],tblInstrutores[NOME_COMPLETO],tblInstrutores[ID],"")</f>
        <v/>
      </c>
      <c r="H252" t="str">
        <f>_xlfn.XLOOKUP(tblAlocacao[[#This Row],[TURMA]],tblTurmas[CODIGO_TURMA],tblTurmas[INSTRUTOR],"")</f>
        <v/>
      </c>
      <c r="I252" t="str">
        <f>_xlfn.XLOOKUP(tblAlocacao[[#This Row],[AMBIENTE]],tblAmbientes[NOME_AMBIENTE],tblAmbientes[ID],"")</f>
        <v/>
      </c>
      <c r="K252" t="str">
        <f>_xlfn.XLOOKUP(tblAlocacao[[#This Row],['#VALOR!]],tblTurnos[TURNO],tblTurnos[ID_TURNO],"")</f>
        <v/>
      </c>
      <c r="L252" t="str">
        <f>_xlfn.XLOOKUP(tblAlocacao[[#This Row],[TURMA]],tblTurmas[CODIGO_TURMA],tblTurmas[TURNO],"")</f>
        <v/>
      </c>
      <c r="M252" t="str">
        <f>_xlfn.XLOOKUP(tblAlocacao[[#This Row],[MODALIDADE]], tblModalidades[MODALIDADE], tblModalidades[ID_MODALIDADE],"")</f>
        <v/>
      </c>
      <c r="O252" s="32"/>
      <c r="P252" s="32"/>
      <c r="Q252" s="33" t="e">
        <f>($P252-$O252)-_xlfn.XLOOKUP(tblAlocacao[[#This Row],[TURMA]],tblTurmas[CODIGO_TURMA],tblTurmas[INTERVALO],"")</f>
        <v>#VALUE!</v>
      </c>
    </row>
    <row r="253" spans="1:17" x14ac:dyDescent="0.35">
      <c r="A253">
        <v>252</v>
      </c>
      <c r="B253" s="2"/>
      <c r="C253" t="str">
        <f>_xlfn.XLOOKUP(tblAlocacao[[#This Row],[TURMA]],tblTurmas[CODIGO_TURMA],tblTurmas[ID_TURMA],"")</f>
        <v/>
      </c>
      <c r="E253" t="str">
        <f>_xlfn.XLOOKUP(tblAlocacao[[#This Row],[DISCIPLINA]],tblDisciplinas[NOME_DISCIPLINA],tblDisciplinas[ID_DISCIPLINA],"")</f>
        <v/>
      </c>
      <c r="F253" s="40"/>
      <c r="G253" t="str">
        <f>_xlfn.XLOOKUP(tblAlocacao[[#This Row],[Nome do Instrutor]],tblInstrutores[NOME_COMPLETO],tblInstrutores[ID],"")</f>
        <v/>
      </c>
      <c r="H253" t="str">
        <f>_xlfn.XLOOKUP(tblAlocacao[[#This Row],[TURMA]],tblTurmas[CODIGO_TURMA],tblTurmas[INSTRUTOR],"")</f>
        <v/>
      </c>
      <c r="I253" t="str">
        <f>_xlfn.XLOOKUP(tblAlocacao[[#This Row],[AMBIENTE]],tblAmbientes[NOME_AMBIENTE],tblAmbientes[ID],"")</f>
        <v/>
      </c>
      <c r="K253" t="str">
        <f>_xlfn.XLOOKUP(tblAlocacao[[#This Row],['#VALOR!]],tblTurnos[TURNO],tblTurnos[ID_TURNO],"")</f>
        <v/>
      </c>
      <c r="L253" t="str">
        <f>_xlfn.XLOOKUP(tblAlocacao[[#This Row],[TURMA]],tblTurmas[CODIGO_TURMA],tblTurmas[TURNO],"")</f>
        <v/>
      </c>
      <c r="M253" t="str">
        <f>_xlfn.XLOOKUP(tblAlocacao[[#This Row],[MODALIDADE]], tblModalidades[MODALIDADE], tblModalidades[ID_MODALIDADE],"")</f>
        <v/>
      </c>
      <c r="O253" s="32"/>
      <c r="P253" s="32"/>
      <c r="Q253" s="33" t="e">
        <f>($P253-$O253)-_xlfn.XLOOKUP(tblAlocacao[[#This Row],[TURMA]],tblTurmas[CODIGO_TURMA],tblTurmas[INTERVALO],"")</f>
        <v>#VALUE!</v>
      </c>
    </row>
    <row r="254" spans="1:17" x14ac:dyDescent="0.35">
      <c r="A254">
        <v>253</v>
      </c>
      <c r="B254" s="2"/>
      <c r="C254" t="str">
        <f>_xlfn.XLOOKUP(tblAlocacao[[#This Row],[TURMA]],tblTurmas[CODIGO_TURMA],tblTurmas[ID_TURMA],"")</f>
        <v/>
      </c>
      <c r="E254" t="str">
        <f>_xlfn.XLOOKUP(tblAlocacao[[#This Row],[DISCIPLINA]],tblDisciplinas[NOME_DISCIPLINA],tblDisciplinas[ID_DISCIPLINA],"")</f>
        <v/>
      </c>
      <c r="F254" s="40"/>
      <c r="G254" t="str">
        <f>_xlfn.XLOOKUP(tblAlocacao[[#This Row],[Nome do Instrutor]],tblInstrutores[NOME_COMPLETO],tblInstrutores[ID],"")</f>
        <v/>
      </c>
      <c r="H254" t="str">
        <f>_xlfn.XLOOKUP(tblAlocacao[[#This Row],[TURMA]],tblTurmas[CODIGO_TURMA],tblTurmas[INSTRUTOR],"")</f>
        <v/>
      </c>
      <c r="I254" t="str">
        <f>_xlfn.XLOOKUP(tblAlocacao[[#This Row],[AMBIENTE]],tblAmbientes[NOME_AMBIENTE],tblAmbientes[ID],"")</f>
        <v/>
      </c>
      <c r="K254" t="str">
        <f>_xlfn.XLOOKUP(tblAlocacao[[#This Row],['#VALOR!]],tblTurnos[TURNO],tblTurnos[ID_TURNO],"")</f>
        <v/>
      </c>
      <c r="L254" t="str">
        <f>_xlfn.XLOOKUP(tblAlocacao[[#This Row],[TURMA]],tblTurmas[CODIGO_TURMA],tblTurmas[TURNO],"")</f>
        <v/>
      </c>
      <c r="M254" t="str">
        <f>_xlfn.XLOOKUP(tblAlocacao[[#This Row],[MODALIDADE]], tblModalidades[MODALIDADE], tblModalidades[ID_MODALIDADE],"")</f>
        <v/>
      </c>
      <c r="O254" s="32"/>
      <c r="P254" s="32"/>
      <c r="Q254" s="33" t="e">
        <f>($P254-$O254)-_xlfn.XLOOKUP(tblAlocacao[[#This Row],[TURMA]],tblTurmas[CODIGO_TURMA],tblTurmas[INTERVALO],"")</f>
        <v>#VALUE!</v>
      </c>
    </row>
    <row r="255" spans="1:17" x14ac:dyDescent="0.35">
      <c r="A255">
        <v>254</v>
      </c>
      <c r="B255" s="2"/>
      <c r="C255" t="str">
        <f>_xlfn.XLOOKUP(tblAlocacao[[#This Row],[TURMA]],tblTurmas[CODIGO_TURMA],tblTurmas[ID_TURMA],"")</f>
        <v/>
      </c>
      <c r="E255" t="str">
        <f>_xlfn.XLOOKUP(tblAlocacao[[#This Row],[DISCIPLINA]],tblDisciplinas[NOME_DISCIPLINA],tblDisciplinas[ID_DISCIPLINA],"")</f>
        <v/>
      </c>
      <c r="F255" s="40"/>
      <c r="G255" t="str">
        <f>_xlfn.XLOOKUP(tblAlocacao[[#This Row],[Nome do Instrutor]],tblInstrutores[NOME_COMPLETO],tblInstrutores[ID],"")</f>
        <v/>
      </c>
      <c r="H255" t="str">
        <f>_xlfn.XLOOKUP(tblAlocacao[[#This Row],[TURMA]],tblTurmas[CODIGO_TURMA],tblTurmas[INSTRUTOR],"")</f>
        <v/>
      </c>
      <c r="I255" t="str">
        <f>_xlfn.XLOOKUP(tblAlocacao[[#This Row],[AMBIENTE]],tblAmbientes[NOME_AMBIENTE],tblAmbientes[ID],"")</f>
        <v/>
      </c>
      <c r="K255" t="str">
        <f>_xlfn.XLOOKUP(tblAlocacao[[#This Row],['#VALOR!]],tblTurnos[TURNO],tblTurnos[ID_TURNO],"")</f>
        <v/>
      </c>
      <c r="L255" t="str">
        <f>_xlfn.XLOOKUP(tblAlocacao[[#This Row],[TURMA]],tblTurmas[CODIGO_TURMA],tblTurmas[TURNO],"")</f>
        <v/>
      </c>
      <c r="M255" t="str">
        <f>_xlfn.XLOOKUP(tblAlocacao[[#This Row],[MODALIDADE]], tblModalidades[MODALIDADE], tblModalidades[ID_MODALIDADE],"")</f>
        <v/>
      </c>
      <c r="O255" s="32"/>
      <c r="P255" s="32"/>
      <c r="Q255" s="33" t="e">
        <f>($P255-$O255)-_xlfn.XLOOKUP(tblAlocacao[[#This Row],[TURMA]],tblTurmas[CODIGO_TURMA],tblTurmas[INTERVALO],"")</f>
        <v>#VALUE!</v>
      </c>
    </row>
    <row r="256" spans="1:17" x14ac:dyDescent="0.35">
      <c r="A256">
        <v>255</v>
      </c>
      <c r="B256" s="2"/>
      <c r="C256" t="str">
        <f>_xlfn.XLOOKUP(tblAlocacao[[#This Row],[TURMA]],tblTurmas[CODIGO_TURMA],tblTurmas[ID_TURMA],"")</f>
        <v/>
      </c>
      <c r="E256" t="str">
        <f>_xlfn.XLOOKUP(tblAlocacao[[#This Row],[DISCIPLINA]],tblDisciplinas[NOME_DISCIPLINA],tblDisciplinas[ID_DISCIPLINA],"")</f>
        <v/>
      </c>
      <c r="F256" s="40"/>
      <c r="G256" t="str">
        <f>_xlfn.XLOOKUP(tblAlocacao[[#This Row],[Nome do Instrutor]],tblInstrutores[NOME_COMPLETO],tblInstrutores[ID],"")</f>
        <v/>
      </c>
      <c r="H256" t="str">
        <f>_xlfn.XLOOKUP(tblAlocacao[[#This Row],[TURMA]],tblTurmas[CODIGO_TURMA],tblTurmas[INSTRUTOR],"")</f>
        <v/>
      </c>
      <c r="I256" t="str">
        <f>_xlfn.XLOOKUP(tblAlocacao[[#This Row],[AMBIENTE]],tblAmbientes[NOME_AMBIENTE],tblAmbientes[ID],"")</f>
        <v/>
      </c>
      <c r="K256" t="str">
        <f>_xlfn.XLOOKUP(tblAlocacao[[#This Row],['#VALOR!]],tblTurnos[TURNO],tblTurnos[ID_TURNO],"")</f>
        <v/>
      </c>
      <c r="L256" t="str">
        <f>_xlfn.XLOOKUP(tblAlocacao[[#This Row],[TURMA]],tblTurmas[CODIGO_TURMA],tblTurmas[TURNO],"")</f>
        <v/>
      </c>
      <c r="M256" t="str">
        <f>_xlfn.XLOOKUP(tblAlocacao[[#This Row],[MODALIDADE]], tblModalidades[MODALIDADE], tblModalidades[ID_MODALIDADE],"")</f>
        <v/>
      </c>
      <c r="O256" s="32"/>
      <c r="P256" s="32"/>
      <c r="Q256" s="33" t="e">
        <f>($P256-$O256)-_xlfn.XLOOKUP(tblAlocacao[[#This Row],[TURMA]],tblTurmas[CODIGO_TURMA],tblTurmas[INTERVALO],"")</f>
        <v>#VALUE!</v>
      </c>
    </row>
    <row r="257" spans="1:17" x14ac:dyDescent="0.35">
      <c r="A257">
        <v>256</v>
      </c>
      <c r="B257" s="2"/>
      <c r="C257" t="str">
        <f>_xlfn.XLOOKUP(tblAlocacao[[#This Row],[TURMA]],tblTurmas[CODIGO_TURMA],tblTurmas[ID_TURMA],"")</f>
        <v/>
      </c>
      <c r="E257" t="str">
        <f>_xlfn.XLOOKUP(tblAlocacao[[#This Row],[DISCIPLINA]],tblDisciplinas[NOME_DISCIPLINA],tblDisciplinas[ID_DISCIPLINA],"")</f>
        <v/>
      </c>
      <c r="F257" s="40"/>
      <c r="G257" t="str">
        <f>_xlfn.XLOOKUP(tblAlocacao[[#This Row],[Nome do Instrutor]],tblInstrutores[NOME_COMPLETO],tblInstrutores[ID],"")</f>
        <v/>
      </c>
      <c r="H257" t="str">
        <f>_xlfn.XLOOKUP(tblAlocacao[[#This Row],[TURMA]],tblTurmas[CODIGO_TURMA],tblTurmas[INSTRUTOR],"")</f>
        <v/>
      </c>
      <c r="I257" t="str">
        <f>_xlfn.XLOOKUP(tblAlocacao[[#This Row],[AMBIENTE]],tblAmbientes[NOME_AMBIENTE],tblAmbientes[ID],"")</f>
        <v/>
      </c>
      <c r="K257" t="str">
        <f>_xlfn.XLOOKUP(tblAlocacao[[#This Row],['#VALOR!]],tblTurnos[TURNO],tblTurnos[ID_TURNO],"")</f>
        <v/>
      </c>
      <c r="L257" t="str">
        <f>_xlfn.XLOOKUP(tblAlocacao[[#This Row],[TURMA]],tblTurmas[CODIGO_TURMA],tblTurmas[TURNO],"")</f>
        <v/>
      </c>
      <c r="M257" t="str">
        <f>_xlfn.XLOOKUP(tblAlocacao[[#This Row],[MODALIDADE]], tblModalidades[MODALIDADE], tblModalidades[ID_MODALIDADE],"")</f>
        <v/>
      </c>
      <c r="O257" s="32"/>
      <c r="P257" s="32"/>
      <c r="Q257" s="33" t="e">
        <f>($P257-$O257)-_xlfn.XLOOKUP(tblAlocacao[[#This Row],[TURMA]],tblTurmas[CODIGO_TURMA],tblTurmas[INTERVALO],"")</f>
        <v>#VALUE!</v>
      </c>
    </row>
    <row r="258" spans="1:17" x14ac:dyDescent="0.35">
      <c r="A258">
        <v>257</v>
      </c>
      <c r="B258" s="2"/>
      <c r="C258" t="str">
        <f>_xlfn.XLOOKUP(tblAlocacao[[#This Row],[TURMA]],tblTurmas[CODIGO_TURMA],tblTurmas[ID_TURMA],"")</f>
        <v/>
      </c>
      <c r="E258" t="str">
        <f>_xlfn.XLOOKUP(tblAlocacao[[#This Row],[DISCIPLINA]],tblDisciplinas[NOME_DISCIPLINA],tblDisciplinas[ID_DISCIPLINA],"")</f>
        <v/>
      </c>
      <c r="F258" s="40"/>
      <c r="G258" t="str">
        <f>_xlfn.XLOOKUP(tblAlocacao[[#This Row],[Nome do Instrutor]],tblInstrutores[NOME_COMPLETO],tblInstrutores[ID],"")</f>
        <v/>
      </c>
      <c r="H258" t="str">
        <f>_xlfn.XLOOKUP(tblAlocacao[[#This Row],[TURMA]],tblTurmas[CODIGO_TURMA],tblTurmas[INSTRUTOR],"")</f>
        <v/>
      </c>
      <c r="I258" t="str">
        <f>_xlfn.XLOOKUP(tblAlocacao[[#This Row],[AMBIENTE]],tblAmbientes[NOME_AMBIENTE],tblAmbientes[ID],"")</f>
        <v/>
      </c>
      <c r="K258" t="str">
        <f>_xlfn.XLOOKUP(tblAlocacao[[#This Row],['#VALOR!]],tblTurnos[TURNO],tblTurnos[ID_TURNO],"")</f>
        <v/>
      </c>
      <c r="L258" t="str">
        <f>_xlfn.XLOOKUP(tblAlocacao[[#This Row],[TURMA]],tblTurmas[CODIGO_TURMA],tblTurmas[TURNO],"")</f>
        <v/>
      </c>
      <c r="M258" t="str">
        <f>_xlfn.XLOOKUP(tblAlocacao[[#This Row],[MODALIDADE]], tblModalidades[MODALIDADE], tblModalidades[ID_MODALIDADE],"")</f>
        <v/>
      </c>
      <c r="O258" s="32"/>
      <c r="P258" s="32"/>
      <c r="Q258" s="33" t="e">
        <f>($P258-$O258)-_xlfn.XLOOKUP(tblAlocacao[[#This Row],[TURMA]],tblTurmas[CODIGO_TURMA],tblTurmas[INTERVALO],"")</f>
        <v>#VALUE!</v>
      </c>
    </row>
    <row r="259" spans="1:17" x14ac:dyDescent="0.35">
      <c r="A259">
        <v>258</v>
      </c>
      <c r="B259" s="2"/>
      <c r="C259" t="str">
        <f>_xlfn.XLOOKUP(tblAlocacao[[#This Row],[TURMA]],tblTurmas[CODIGO_TURMA],tblTurmas[ID_TURMA],"")</f>
        <v/>
      </c>
      <c r="E259" t="str">
        <f>_xlfn.XLOOKUP(tblAlocacao[[#This Row],[DISCIPLINA]],tblDisciplinas[NOME_DISCIPLINA],tblDisciplinas[ID_DISCIPLINA],"")</f>
        <v/>
      </c>
      <c r="F259" s="40"/>
      <c r="G259" t="str">
        <f>_xlfn.XLOOKUP(tblAlocacao[[#This Row],[Nome do Instrutor]],tblInstrutores[NOME_COMPLETO],tblInstrutores[ID],"")</f>
        <v/>
      </c>
      <c r="H259" t="str">
        <f>_xlfn.XLOOKUP(tblAlocacao[[#This Row],[TURMA]],tblTurmas[CODIGO_TURMA],tblTurmas[INSTRUTOR],"")</f>
        <v/>
      </c>
      <c r="I259" t="str">
        <f>_xlfn.XLOOKUP(tblAlocacao[[#This Row],[AMBIENTE]],tblAmbientes[NOME_AMBIENTE],tblAmbientes[ID],"")</f>
        <v/>
      </c>
      <c r="K259" t="str">
        <f>_xlfn.XLOOKUP(tblAlocacao[[#This Row],['#VALOR!]],tblTurnos[TURNO],tblTurnos[ID_TURNO],"")</f>
        <v/>
      </c>
      <c r="L259" t="str">
        <f>_xlfn.XLOOKUP(tblAlocacao[[#This Row],[TURMA]],tblTurmas[CODIGO_TURMA],tblTurmas[TURNO],"")</f>
        <v/>
      </c>
      <c r="M259" t="str">
        <f>_xlfn.XLOOKUP(tblAlocacao[[#This Row],[MODALIDADE]], tblModalidades[MODALIDADE], tblModalidades[ID_MODALIDADE],"")</f>
        <v/>
      </c>
      <c r="O259" s="32"/>
      <c r="P259" s="32"/>
      <c r="Q259" s="33" t="e">
        <f>($P259-$O259)-_xlfn.XLOOKUP(tblAlocacao[[#This Row],[TURMA]],tblTurmas[CODIGO_TURMA],tblTurmas[INTERVALO],"")</f>
        <v>#VALUE!</v>
      </c>
    </row>
    <row r="260" spans="1:17" x14ac:dyDescent="0.35">
      <c r="A260">
        <v>259</v>
      </c>
      <c r="B260" s="2"/>
      <c r="C260" t="str">
        <f>_xlfn.XLOOKUP(tblAlocacao[[#This Row],[TURMA]],tblTurmas[CODIGO_TURMA],tblTurmas[ID_TURMA],"")</f>
        <v/>
      </c>
      <c r="E260" t="str">
        <f>_xlfn.XLOOKUP(tblAlocacao[[#This Row],[DISCIPLINA]],tblDisciplinas[NOME_DISCIPLINA],tblDisciplinas[ID_DISCIPLINA],"")</f>
        <v/>
      </c>
      <c r="F260" s="40"/>
      <c r="G260" t="str">
        <f>_xlfn.XLOOKUP(tblAlocacao[[#This Row],[Nome do Instrutor]],tblInstrutores[NOME_COMPLETO],tblInstrutores[ID],"")</f>
        <v/>
      </c>
      <c r="H260" t="str">
        <f>_xlfn.XLOOKUP(tblAlocacao[[#This Row],[TURMA]],tblTurmas[CODIGO_TURMA],tblTurmas[INSTRUTOR],"")</f>
        <v/>
      </c>
      <c r="I260" t="str">
        <f>_xlfn.XLOOKUP(tblAlocacao[[#This Row],[AMBIENTE]],tblAmbientes[NOME_AMBIENTE],tblAmbientes[ID],"")</f>
        <v/>
      </c>
      <c r="K260" t="str">
        <f>_xlfn.XLOOKUP(tblAlocacao[[#This Row],['#VALOR!]],tblTurnos[TURNO],tblTurnos[ID_TURNO],"")</f>
        <v/>
      </c>
      <c r="L260" t="str">
        <f>_xlfn.XLOOKUP(tblAlocacao[[#This Row],[TURMA]],tblTurmas[CODIGO_TURMA],tblTurmas[TURNO],"")</f>
        <v/>
      </c>
      <c r="M260" t="str">
        <f>_xlfn.XLOOKUP(tblAlocacao[[#This Row],[MODALIDADE]], tblModalidades[MODALIDADE], tblModalidades[ID_MODALIDADE],"")</f>
        <v/>
      </c>
      <c r="O260" s="32"/>
      <c r="P260" s="32"/>
      <c r="Q260" s="33" t="e">
        <f>($P260-$O260)-_xlfn.XLOOKUP(tblAlocacao[[#This Row],[TURMA]],tblTurmas[CODIGO_TURMA],tblTurmas[INTERVALO],"")</f>
        <v>#VALUE!</v>
      </c>
    </row>
    <row r="261" spans="1:17" x14ac:dyDescent="0.35">
      <c r="A261">
        <v>260</v>
      </c>
      <c r="B261" s="2"/>
      <c r="C261" t="str">
        <f>_xlfn.XLOOKUP(tblAlocacao[[#This Row],[TURMA]],tblTurmas[CODIGO_TURMA],tblTurmas[ID_TURMA],"")</f>
        <v/>
      </c>
      <c r="E261" t="str">
        <f>_xlfn.XLOOKUP(tblAlocacao[[#This Row],[DISCIPLINA]],tblDisciplinas[NOME_DISCIPLINA],tblDisciplinas[ID_DISCIPLINA],"")</f>
        <v/>
      </c>
      <c r="F261" s="40"/>
      <c r="G261" t="str">
        <f>_xlfn.XLOOKUP(tblAlocacao[[#This Row],[Nome do Instrutor]],tblInstrutores[NOME_COMPLETO],tblInstrutores[ID],"")</f>
        <v/>
      </c>
      <c r="H261" t="str">
        <f>_xlfn.XLOOKUP(tblAlocacao[[#This Row],[TURMA]],tblTurmas[CODIGO_TURMA],tblTurmas[INSTRUTOR],"")</f>
        <v/>
      </c>
      <c r="I261" t="str">
        <f>_xlfn.XLOOKUP(tblAlocacao[[#This Row],[AMBIENTE]],tblAmbientes[NOME_AMBIENTE],tblAmbientes[ID],"")</f>
        <v/>
      </c>
      <c r="K261" t="str">
        <f>_xlfn.XLOOKUP(tblAlocacao[[#This Row],['#VALOR!]],tblTurnos[TURNO],tblTurnos[ID_TURNO],"")</f>
        <v/>
      </c>
      <c r="L261" t="str">
        <f>_xlfn.XLOOKUP(tblAlocacao[[#This Row],[TURMA]],tblTurmas[CODIGO_TURMA],tblTurmas[TURNO],"")</f>
        <v/>
      </c>
      <c r="M261" t="str">
        <f>_xlfn.XLOOKUP(tblAlocacao[[#This Row],[MODALIDADE]], tblModalidades[MODALIDADE], tblModalidades[ID_MODALIDADE],"")</f>
        <v/>
      </c>
      <c r="O261" s="32"/>
      <c r="P261" s="32"/>
      <c r="Q261" s="33" t="e">
        <f>($P261-$O261)-_xlfn.XLOOKUP(tblAlocacao[[#This Row],[TURMA]],tblTurmas[CODIGO_TURMA],tblTurmas[INTERVALO],"")</f>
        <v>#VALUE!</v>
      </c>
    </row>
    <row r="262" spans="1:17" x14ac:dyDescent="0.35">
      <c r="A262">
        <v>261</v>
      </c>
      <c r="B262" s="2"/>
      <c r="C262" t="str">
        <f>_xlfn.XLOOKUP(tblAlocacao[[#This Row],[TURMA]],tblTurmas[CODIGO_TURMA],tblTurmas[ID_TURMA],"")</f>
        <v/>
      </c>
      <c r="E262" t="str">
        <f>_xlfn.XLOOKUP(tblAlocacao[[#This Row],[DISCIPLINA]],tblDisciplinas[NOME_DISCIPLINA],tblDisciplinas[ID_DISCIPLINA],"")</f>
        <v/>
      </c>
      <c r="F262" s="40"/>
      <c r="G262" t="str">
        <f>_xlfn.XLOOKUP(tblAlocacao[[#This Row],[Nome do Instrutor]],tblInstrutores[NOME_COMPLETO],tblInstrutores[ID],"")</f>
        <v/>
      </c>
      <c r="H262" t="str">
        <f>_xlfn.XLOOKUP(tblAlocacao[[#This Row],[TURMA]],tblTurmas[CODIGO_TURMA],tblTurmas[INSTRUTOR],"")</f>
        <v/>
      </c>
      <c r="I262" t="str">
        <f>_xlfn.XLOOKUP(tblAlocacao[[#This Row],[AMBIENTE]],tblAmbientes[NOME_AMBIENTE],tblAmbientes[ID],"")</f>
        <v/>
      </c>
      <c r="K262" t="str">
        <f>_xlfn.XLOOKUP(tblAlocacao[[#This Row],['#VALOR!]],tblTurnos[TURNO],tblTurnos[ID_TURNO],"")</f>
        <v/>
      </c>
      <c r="L262" t="str">
        <f>_xlfn.XLOOKUP(tblAlocacao[[#This Row],[TURMA]],tblTurmas[CODIGO_TURMA],tblTurmas[TURNO],"")</f>
        <v/>
      </c>
      <c r="M262" t="str">
        <f>_xlfn.XLOOKUP(tblAlocacao[[#This Row],[MODALIDADE]], tblModalidades[MODALIDADE], tblModalidades[ID_MODALIDADE],"")</f>
        <v/>
      </c>
      <c r="O262" s="32"/>
      <c r="P262" s="32"/>
      <c r="Q262" s="33" t="e">
        <f>($P262-$O262)-_xlfn.XLOOKUP(tblAlocacao[[#This Row],[TURMA]],tblTurmas[CODIGO_TURMA],tblTurmas[INTERVALO],"")</f>
        <v>#VALUE!</v>
      </c>
    </row>
    <row r="263" spans="1:17" x14ac:dyDescent="0.35">
      <c r="A263">
        <v>262</v>
      </c>
      <c r="B263" s="2"/>
      <c r="C263" t="str">
        <f>_xlfn.XLOOKUP(tblAlocacao[[#This Row],[TURMA]],tblTurmas[CODIGO_TURMA],tblTurmas[ID_TURMA],"")</f>
        <v/>
      </c>
      <c r="E263" t="str">
        <f>_xlfn.XLOOKUP(tblAlocacao[[#This Row],[DISCIPLINA]],tblDisciplinas[NOME_DISCIPLINA],tblDisciplinas[ID_DISCIPLINA],"")</f>
        <v/>
      </c>
      <c r="F263" s="40"/>
      <c r="G263" t="str">
        <f>_xlfn.XLOOKUP(tblAlocacao[[#This Row],[Nome do Instrutor]],tblInstrutores[NOME_COMPLETO],tblInstrutores[ID],"")</f>
        <v/>
      </c>
      <c r="H263" t="str">
        <f>_xlfn.XLOOKUP(tblAlocacao[[#This Row],[TURMA]],tblTurmas[CODIGO_TURMA],tblTurmas[INSTRUTOR],"")</f>
        <v/>
      </c>
      <c r="I263" t="str">
        <f>_xlfn.XLOOKUP(tblAlocacao[[#This Row],[AMBIENTE]],tblAmbientes[NOME_AMBIENTE],tblAmbientes[ID],"")</f>
        <v/>
      </c>
      <c r="K263" t="str">
        <f>_xlfn.XLOOKUP(tblAlocacao[[#This Row],['#VALOR!]],tblTurnos[TURNO],tblTurnos[ID_TURNO],"")</f>
        <v/>
      </c>
      <c r="L263" t="str">
        <f>_xlfn.XLOOKUP(tblAlocacao[[#This Row],[TURMA]],tblTurmas[CODIGO_TURMA],tblTurmas[TURNO],"")</f>
        <v/>
      </c>
      <c r="M263" t="str">
        <f>_xlfn.XLOOKUP(tblAlocacao[[#This Row],[MODALIDADE]], tblModalidades[MODALIDADE], tblModalidades[ID_MODALIDADE],"")</f>
        <v/>
      </c>
      <c r="O263" s="32"/>
      <c r="P263" s="32"/>
      <c r="Q263" s="33" t="e">
        <f>($P263-$O263)-_xlfn.XLOOKUP(tblAlocacao[[#This Row],[TURMA]],tblTurmas[CODIGO_TURMA],tblTurmas[INTERVALO],"")</f>
        <v>#VALUE!</v>
      </c>
    </row>
    <row r="264" spans="1:17" x14ac:dyDescent="0.35">
      <c r="A264">
        <v>263</v>
      </c>
      <c r="B264" s="2"/>
      <c r="C264" t="str">
        <f>_xlfn.XLOOKUP(tblAlocacao[[#This Row],[TURMA]],tblTurmas[CODIGO_TURMA],tblTurmas[ID_TURMA],"")</f>
        <v/>
      </c>
      <c r="E264" t="str">
        <f>_xlfn.XLOOKUP(tblAlocacao[[#This Row],[DISCIPLINA]],tblDisciplinas[NOME_DISCIPLINA],tblDisciplinas[ID_DISCIPLINA],"")</f>
        <v/>
      </c>
      <c r="F264" s="40"/>
      <c r="G264" t="str">
        <f>_xlfn.XLOOKUP(tblAlocacao[[#This Row],[Nome do Instrutor]],tblInstrutores[NOME_COMPLETO],tblInstrutores[ID],"")</f>
        <v/>
      </c>
      <c r="H264" t="str">
        <f>_xlfn.XLOOKUP(tblAlocacao[[#This Row],[TURMA]],tblTurmas[CODIGO_TURMA],tblTurmas[INSTRUTOR],"")</f>
        <v/>
      </c>
      <c r="I264" t="str">
        <f>_xlfn.XLOOKUP(tblAlocacao[[#This Row],[AMBIENTE]],tblAmbientes[NOME_AMBIENTE],tblAmbientes[ID],"")</f>
        <v/>
      </c>
      <c r="K264" t="str">
        <f>_xlfn.XLOOKUP(tblAlocacao[[#This Row],['#VALOR!]],tblTurnos[TURNO],tblTurnos[ID_TURNO],"")</f>
        <v/>
      </c>
      <c r="L264" t="str">
        <f>_xlfn.XLOOKUP(tblAlocacao[[#This Row],[TURMA]],tblTurmas[CODIGO_TURMA],tblTurmas[TURNO],"")</f>
        <v/>
      </c>
      <c r="M264" t="str">
        <f>_xlfn.XLOOKUP(tblAlocacao[[#This Row],[MODALIDADE]], tblModalidades[MODALIDADE], tblModalidades[ID_MODALIDADE],"")</f>
        <v/>
      </c>
      <c r="O264" s="32"/>
      <c r="P264" s="32"/>
      <c r="Q264" s="33" t="e">
        <f>($P264-$O264)-_xlfn.XLOOKUP(tblAlocacao[[#This Row],[TURMA]],tblTurmas[CODIGO_TURMA],tblTurmas[INTERVALO],"")</f>
        <v>#VALUE!</v>
      </c>
    </row>
    <row r="265" spans="1:17" x14ac:dyDescent="0.35">
      <c r="A265">
        <v>264</v>
      </c>
      <c r="B265" s="2"/>
      <c r="C265" t="str">
        <f>_xlfn.XLOOKUP(tblAlocacao[[#This Row],[TURMA]],tblTurmas[CODIGO_TURMA],tblTurmas[ID_TURMA],"")</f>
        <v/>
      </c>
      <c r="E265" t="str">
        <f>_xlfn.XLOOKUP(tblAlocacao[[#This Row],[DISCIPLINA]],tblDisciplinas[NOME_DISCIPLINA],tblDisciplinas[ID_DISCIPLINA],"")</f>
        <v/>
      </c>
      <c r="F265" s="40"/>
      <c r="G265" t="str">
        <f>_xlfn.XLOOKUP(tblAlocacao[[#This Row],[Nome do Instrutor]],tblInstrutores[NOME_COMPLETO],tblInstrutores[ID],"")</f>
        <v/>
      </c>
      <c r="H265" t="str">
        <f>_xlfn.XLOOKUP(tblAlocacao[[#This Row],[TURMA]],tblTurmas[CODIGO_TURMA],tblTurmas[INSTRUTOR],"")</f>
        <v/>
      </c>
      <c r="I265" t="str">
        <f>_xlfn.XLOOKUP(tblAlocacao[[#This Row],[AMBIENTE]],tblAmbientes[NOME_AMBIENTE],tblAmbientes[ID],"")</f>
        <v/>
      </c>
      <c r="K265" t="str">
        <f>_xlfn.XLOOKUP(tblAlocacao[[#This Row],['#VALOR!]],tblTurnos[TURNO],tblTurnos[ID_TURNO],"")</f>
        <v/>
      </c>
      <c r="L265" t="str">
        <f>_xlfn.XLOOKUP(tblAlocacao[[#This Row],[TURMA]],tblTurmas[CODIGO_TURMA],tblTurmas[TURNO],"")</f>
        <v/>
      </c>
      <c r="M265" t="str">
        <f>_xlfn.XLOOKUP(tblAlocacao[[#This Row],[MODALIDADE]], tblModalidades[MODALIDADE], tblModalidades[ID_MODALIDADE],"")</f>
        <v/>
      </c>
      <c r="O265" s="32"/>
      <c r="P265" s="32"/>
      <c r="Q265" s="33" t="e">
        <f>($P265-$O265)-_xlfn.XLOOKUP(tblAlocacao[[#This Row],[TURMA]],tblTurmas[CODIGO_TURMA],tblTurmas[INTERVALO],"")</f>
        <v>#VALUE!</v>
      </c>
    </row>
    <row r="266" spans="1:17" x14ac:dyDescent="0.35">
      <c r="A266">
        <v>265</v>
      </c>
      <c r="B266" s="2"/>
      <c r="C266" t="str">
        <f>_xlfn.XLOOKUP(tblAlocacao[[#This Row],[TURMA]],tblTurmas[CODIGO_TURMA],tblTurmas[ID_TURMA],"")</f>
        <v/>
      </c>
      <c r="E266" t="str">
        <f>_xlfn.XLOOKUP(tblAlocacao[[#This Row],[DISCIPLINA]],tblDisciplinas[NOME_DISCIPLINA],tblDisciplinas[ID_DISCIPLINA],"")</f>
        <v/>
      </c>
      <c r="F266" s="40"/>
      <c r="G266" t="str">
        <f>_xlfn.XLOOKUP(tblAlocacao[[#This Row],[Nome do Instrutor]],tblInstrutores[NOME_COMPLETO],tblInstrutores[ID],"")</f>
        <v/>
      </c>
      <c r="H266" t="str">
        <f>_xlfn.XLOOKUP(tblAlocacao[[#This Row],[TURMA]],tblTurmas[CODIGO_TURMA],tblTurmas[INSTRUTOR],"")</f>
        <v/>
      </c>
      <c r="I266" t="str">
        <f>_xlfn.XLOOKUP(tblAlocacao[[#This Row],[AMBIENTE]],tblAmbientes[NOME_AMBIENTE],tblAmbientes[ID],"")</f>
        <v/>
      </c>
      <c r="K266" t="str">
        <f>_xlfn.XLOOKUP(tblAlocacao[[#This Row],['#VALOR!]],tblTurnos[TURNO],tblTurnos[ID_TURNO],"")</f>
        <v/>
      </c>
      <c r="L266" t="str">
        <f>_xlfn.XLOOKUP(tblAlocacao[[#This Row],[TURMA]],tblTurmas[CODIGO_TURMA],tblTurmas[TURNO],"")</f>
        <v/>
      </c>
      <c r="M266" t="str">
        <f>_xlfn.XLOOKUP(tblAlocacao[[#This Row],[MODALIDADE]], tblModalidades[MODALIDADE], tblModalidades[ID_MODALIDADE],"")</f>
        <v/>
      </c>
      <c r="O266" s="32"/>
      <c r="P266" s="32"/>
      <c r="Q266" s="33" t="e">
        <f>($P266-$O266)-_xlfn.XLOOKUP(tblAlocacao[[#This Row],[TURMA]],tblTurmas[CODIGO_TURMA],tblTurmas[INTERVALO],"")</f>
        <v>#VALUE!</v>
      </c>
    </row>
    <row r="267" spans="1:17" x14ac:dyDescent="0.35">
      <c r="A267">
        <v>266</v>
      </c>
      <c r="B267" s="2"/>
      <c r="C267" t="str">
        <f>_xlfn.XLOOKUP(tblAlocacao[[#This Row],[TURMA]],tblTurmas[CODIGO_TURMA],tblTurmas[ID_TURMA],"")</f>
        <v/>
      </c>
      <c r="E267" t="str">
        <f>_xlfn.XLOOKUP(tblAlocacao[[#This Row],[DISCIPLINA]],tblDisciplinas[NOME_DISCIPLINA],tblDisciplinas[ID_DISCIPLINA],"")</f>
        <v/>
      </c>
      <c r="F267" s="40"/>
      <c r="G267" t="str">
        <f>_xlfn.XLOOKUP(tblAlocacao[[#This Row],[Nome do Instrutor]],tblInstrutores[NOME_COMPLETO],tblInstrutores[ID],"")</f>
        <v/>
      </c>
      <c r="H267" t="str">
        <f>_xlfn.XLOOKUP(tblAlocacao[[#This Row],[TURMA]],tblTurmas[CODIGO_TURMA],tblTurmas[INSTRUTOR],"")</f>
        <v/>
      </c>
      <c r="I267" t="str">
        <f>_xlfn.XLOOKUP(tblAlocacao[[#This Row],[AMBIENTE]],tblAmbientes[NOME_AMBIENTE],tblAmbientes[ID],"")</f>
        <v/>
      </c>
      <c r="K267" t="str">
        <f>_xlfn.XLOOKUP(tblAlocacao[[#This Row],['#VALOR!]],tblTurnos[TURNO],tblTurnos[ID_TURNO],"")</f>
        <v/>
      </c>
      <c r="L267" t="str">
        <f>_xlfn.XLOOKUP(tblAlocacao[[#This Row],[TURMA]],tblTurmas[CODIGO_TURMA],tblTurmas[TURNO],"")</f>
        <v/>
      </c>
      <c r="M267" t="str">
        <f>_xlfn.XLOOKUP(tblAlocacao[[#This Row],[MODALIDADE]], tblModalidades[MODALIDADE], tblModalidades[ID_MODALIDADE],"")</f>
        <v/>
      </c>
      <c r="O267" s="32"/>
      <c r="P267" s="32"/>
      <c r="Q267" s="33" t="e">
        <f>($P267-$O267)-_xlfn.XLOOKUP(tblAlocacao[[#This Row],[TURMA]],tblTurmas[CODIGO_TURMA],tblTurmas[INTERVALO],"")</f>
        <v>#VALUE!</v>
      </c>
    </row>
    <row r="268" spans="1:17" x14ac:dyDescent="0.35">
      <c r="A268">
        <v>267</v>
      </c>
      <c r="B268" s="2"/>
      <c r="C268" t="str">
        <f>_xlfn.XLOOKUP(tblAlocacao[[#This Row],[TURMA]],tblTurmas[CODIGO_TURMA],tblTurmas[ID_TURMA],"")</f>
        <v/>
      </c>
      <c r="E268" t="str">
        <f>_xlfn.XLOOKUP(tblAlocacao[[#This Row],[DISCIPLINA]],tblDisciplinas[NOME_DISCIPLINA],tblDisciplinas[ID_DISCIPLINA],"")</f>
        <v/>
      </c>
      <c r="F268" s="40"/>
      <c r="G268" t="str">
        <f>_xlfn.XLOOKUP(tblAlocacao[[#This Row],[Nome do Instrutor]],tblInstrutores[NOME_COMPLETO],tblInstrutores[ID],"")</f>
        <v/>
      </c>
      <c r="H268" t="str">
        <f>_xlfn.XLOOKUP(tblAlocacao[[#This Row],[TURMA]],tblTurmas[CODIGO_TURMA],tblTurmas[INSTRUTOR],"")</f>
        <v/>
      </c>
      <c r="I268" t="str">
        <f>_xlfn.XLOOKUP(tblAlocacao[[#This Row],[AMBIENTE]],tblAmbientes[NOME_AMBIENTE],tblAmbientes[ID],"")</f>
        <v/>
      </c>
      <c r="K268" t="str">
        <f>_xlfn.XLOOKUP(tblAlocacao[[#This Row],['#VALOR!]],tblTurnos[TURNO],tblTurnos[ID_TURNO],"")</f>
        <v/>
      </c>
      <c r="L268" t="str">
        <f>_xlfn.XLOOKUP(tblAlocacao[[#This Row],[TURMA]],tblTurmas[CODIGO_TURMA],tblTurmas[TURNO],"")</f>
        <v/>
      </c>
      <c r="M268" t="str">
        <f>_xlfn.XLOOKUP(tblAlocacao[[#This Row],[MODALIDADE]], tblModalidades[MODALIDADE], tblModalidades[ID_MODALIDADE],"")</f>
        <v/>
      </c>
      <c r="O268" s="32"/>
      <c r="P268" s="32"/>
      <c r="Q268" s="33" t="e">
        <f>($P268-$O268)-_xlfn.XLOOKUP(tblAlocacao[[#This Row],[TURMA]],tblTurmas[CODIGO_TURMA],tblTurmas[INTERVALO],"")</f>
        <v>#VALUE!</v>
      </c>
    </row>
    <row r="269" spans="1:17" x14ac:dyDescent="0.35">
      <c r="A269">
        <v>268</v>
      </c>
      <c r="B269" s="2"/>
      <c r="C269" t="str">
        <f>_xlfn.XLOOKUP(tblAlocacao[[#This Row],[TURMA]],tblTurmas[CODIGO_TURMA],tblTurmas[ID_TURMA],"")</f>
        <v/>
      </c>
      <c r="E269" t="str">
        <f>_xlfn.XLOOKUP(tblAlocacao[[#This Row],[DISCIPLINA]],tblDisciplinas[NOME_DISCIPLINA],tblDisciplinas[ID_DISCIPLINA],"")</f>
        <v/>
      </c>
      <c r="F269" s="40"/>
      <c r="G269" t="str">
        <f>_xlfn.XLOOKUP(tblAlocacao[[#This Row],[Nome do Instrutor]],tblInstrutores[NOME_COMPLETO],tblInstrutores[ID],"")</f>
        <v/>
      </c>
      <c r="H269" t="str">
        <f>_xlfn.XLOOKUP(tblAlocacao[[#This Row],[TURMA]],tblTurmas[CODIGO_TURMA],tblTurmas[INSTRUTOR],"")</f>
        <v/>
      </c>
      <c r="I269" t="str">
        <f>_xlfn.XLOOKUP(tblAlocacao[[#This Row],[AMBIENTE]],tblAmbientes[NOME_AMBIENTE],tblAmbientes[ID],"")</f>
        <v/>
      </c>
      <c r="K269" t="str">
        <f>_xlfn.XLOOKUP(tblAlocacao[[#This Row],['#VALOR!]],tblTurnos[TURNO],tblTurnos[ID_TURNO],"")</f>
        <v/>
      </c>
      <c r="L269" t="str">
        <f>_xlfn.XLOOKUP(tblAlocacao[[#This Row],[TURMA]],tblTurmas[CODIGO_TURMA],tblTurmas[TURNO],"")</f>
        <v/>
      </c>
      <c r="M269" t="str">
        <f>_xlfn.XLOOKUP(tblAlocacao[[#This Row],[MODALIDADE]], tblModalidades[MODALIDADE], tblModalidades[ID_MODALIDADE],"")</f>
        <v/>
      </c>
      <c r="O269" s="32"/>
      <c r="P269" s="32"/>
      <c r="Q269" s="33" t="e">
        <f>($P269-$O269)-_xlfn.XLOOKUP(tblAlocacao[[#This Row],[TURMA]],tblTurmas[CODIGO_TURMA],tblTurmas[INTERVALO],"")</f>
        <v>#VALUE!</v>
      </c>
    </row>
    <row r="270" spans="1:17" x14ac:dyDescent="0.35">
      <c r="A270">
        <v>269</v>
      </c>
      <c r="B270" s="2"/>
      <c r="C270" t="str">
        <f>_xlfn.XLOOKUP(tblAlocacao[[#This Row],[TURMA]],tblTurmas[CODIGO_TURMA],tblTurmas[ID_TURMA],"")</f>
        <v/>
      </c>
      <c r="E270" t="str">
        <f>_xlfn.XLOOKUP(tblAlocacao[[#This Row],[DISCIPLINA]],tblDisciplinas[NOME_DISCIPLINA],tblDisciplinas[ID_DISCIPLINA],"")</f>
        <v/>
      </c>
      <c r="F270" s="40"/>
      <c r="G270" t="str">
        <f>_xlfn.XLOOKUP(tblAlocacao[[#This Row],[Nome do Instrutor]],tblInstrutores[NOME_COMPLETO],tblInstrutores[ID],"")</f>
        <v/>
      </c>
      <c r="H270" t="str">
        <f>_xlfn.XLOOKUP(tblAlocacao[[#This Row],[TURMA]],tblTurmas[CODIGO_TURMA],tblTurmas[INSTRUTOR],"")</f>
        <v/>
      </c>
      <c r="I270" t="str">
        <f>_xlfn.XLOOKUP(tblAlocacao[[#This Row],[AMBIENTE]],tblAmbientes[NOME_AMBIENTE],tblAmbientes[ID],"")</f>
        <v/>
      </c>
      <c r="K270" t="str">
        <f>_xlfn.XLOOKUP(tblAlocacao[[#This Row],['#VALOR!]],tblTurnos[TURNO],tblTurnos[ID_TURNO],"")</f>
        <v/>
      </c>
      <c r="L270" t="str">
        <f>_xlfn.XLOOKUP(tblAlocacao[[#This Row],[TURMA]],tblTurmas[CODIGO_TURMA],tblTurmas[TURNO],"")</f>
        <v/>
      </c>
      <c r="M270" t="str">
        <f>_xlfn.XLOOKUP(tblAlocacao[[#This Row],[MODALIDADE]], tblModalidades[MODALIDADE], tblModalidades[ID_MODALIDADE],"")</f>
        <v/>
      </c>
      <c r="O270" s="32"/>
      <c r="P270" s="32"/>
      <c r="Q270" s="33" t="e">
        <f>($P270-$O270)-_xlfn.XLOOKUP(tblAlocacao[[#This Row],[TURMA]],tblTurmas[CODIGO_TURMA],tblTurmas[INTERVALO],"")</f>
        <v>#VALUE!</v>
      </c>
    </row>
    <row r="271" spans="1:17" x14ac:dyDescent="0.35">
      <c r="A271">
        <v>270</v>
      </c>
      <c r="B271" s="2"/>
      <c r="C271" t="str">
        <f>_xlfn.XLOOKUP(tblAlocacao[[#This Row],[TURMA]],tblTurmas[CODIGO_TURMA],tblTurmas[ID_TURMA],"")</f>
        <v/>
      </c>
      <c r="E271" t="str">
        <f>_xlfn.XLOOKUP(tblAlocacao[[#This Row],[DISCIPLINA]],tblDisciplinas[NOME_DISCIPLINA],tblDisciplinas[ID_DISCIPLINA],"")</f>
        <v/>
      </c>
      <c r="F271" s="40"/>
      <c r="G271" t="str">
        <f>_xlfn.XLOOKUP(tblAlocacao[[#This Row],[Nome do Instrutor]],tblInstrutores[NOME_COMPLETO],tblInstrutores[ID],"")</f>
        <v/>
      </c>
      <c r="H271" t="str">
        <f>_xlfn.XLOOKUP(tblAlocacao[[#This Row],[TURMA]],tblTurmas[CODIGO_TURMA],tblTurmas[INSTRUTOR],"")</f>
        <v/>
      </c>
      <c r="I271" t="str">
        <f>_xlfn.XLOOKUP(tblAlocacao[[#This Row],[AMBIENTE]],tblAmbientes[NOME_AMBIENTE],tblAmbientes[ID],"")</f>
        <v/>
      </c>
      <c r="K271" t="str">
        <f>_xlfn.XLOOKUP(tblAlocacao[[#This Row],['#VALOR!]],tblTurnos[TURNO],tblTurnos[ID_TURNO],"")</f>
        <v/>
      </c>
      <c r="L271" t="str">
        <f>_xlfn.XLOOKUP(tblAlocacao[[#This Row],[TURMA]],tblTurmas[CODIGO_TURMA],tblTurmas[TURNO],"")</f>
        <v/>
      </c>
      <c r="M271" t="str">
        <f>_xlfn.XLOOKUP(tblAlocacao[[#This Row],[MODALIDADE]], tblModalidades[MODALIDADE], tblModalidades[ID_MODALIDADE],"")</f>
        <v/>
      </c>
      <c r="O271" s="32"/>
      <c r="P271" s="32"/>
      <c r="Q271" s="33" t="e">
        <f>($P271-$O271)-_xlfn.XLOOKUP(tblAlocacao[[#This Row],[TURMA]],tblTurmas[CODIGO_TURMA],tblTurmas[INTERVALO],"")</f>
        <v>#VALUE!</v>
      </c>
    </row>
    <row r="272" spans="1:17" x14ac:dyDescent="0.35">
      <c r="A272">
        <v>271</v>
      </c>
      <c r="B272" s="2"/>
      <c r="C272" t="str">
        <f>_xlfn.XLOOKUP(tblAlocacao[[#This Row],[TURMA]],tblTurmas[CODIGO_TURMA],tblTurmas[ID_TURMA],"")</f>
        <v/>
      </c>
      <c r="E272" t="str">
        <f>_xlfn.XLOOKUP(tblAlocacao[[#This Row],[DISCIPLINA]],tblDisciplinas[NOME_DISCIPLINA],tblDisciplinas[ID_DISCIPLINA],"")</f>
        <v/>
      </c>
      <c r="F272" s="40"/>
      <c r="G272" t="str">
        <f>_xlfn.XLOOKUP(tblAlocacao[[#This Row],[Nome do Instrutor]],tblInstrutores[NOME_COMPLETO],tblInstrutores[ID],"")</f>
        <v/>
      </c>
      <c r="H272" t="str">
        <f>_xlfn.XLOOKUP(tblAlocacao[[#This Row],[TURMA]],tblTurmas[CODIGO_TURMA],tblTurmas[INSTRUTOR],"")</f>
        <v/>
      </c>
      <c r="I272" t="str">
        <f>_xlfn.XLOOKUP(tblAlocacao[[#This Row],[AMBIENTE]],tblAmbientes[NOME_AMBIENTE],tblAmbientes[ID],"")</f>
        <v/>
      </c>
      <c r="K272" t="str">
        <f>_xlfn.XLOOKUP(tblAlocacao[[#This Row],['#VALOR!]],tblTurnos[TURNO],tblTurnos[ID_TURNO],"")</f>
        <v/>
      </c>
      <c r="L272" t="str">
        <f>_xlfn.XLOOKUP(tblAlocacao[[#This Row],[TURMA]],tblTurmas[CODIGO_TURMA],tblTurmas[TURNO],"")</f>
        <v/>
      </c>
      <c r="M272" t="str">
        <f>_xlfn.XLOOKUP(tblAlocacao[[#This Row],[MODALIDADE]], tblModalidades[MODALIDADE], tblModalidades[ID_MODALIDADE],"")</f>
        <v/>
      </c>
      <c r="O272" s="32"/>
      <c r="P272" s="32"/>
      <c r="Q272" s="33" t="e">
        <f>($P272-$O272)-_xlfn.XLOOKUP(tblAlocacao[[#This Row],[TURMA]],tblTurmas[CODIGO_TURMA],tblTurmas[INTERVALO],"")</f>
        <v>#VALUE!</v>
      </c>
    </row>
    <row r="273" spans="1:17" x14ac:dyDescent="0.35">
      <c r="A273">
        <v>272</v>
      </c>
      <c r="B273" s="2"/>
      <c r="C273" t="str">
        <f>_xlfn.XLOOKUP(tblAlocacao[[#This Row],[TURMA]],tblTurmas[CODIGO_TURMA],tblTurmas[ID_TURMA],"")</f>
        <v/>
      </c>
      <c r="E273" t="str">
        <f>_xlfn.XLOOKUP(tblAlocacao[[#This Row],[DISCIPLINA]],tblDisciplinas[NOME_DISCIPLINA],tblDisciplinas[ID_DISCIPLINA],"")</f>
        <v/>
      </c>
      <c r="F273" s="40"/>
      <c r="G273" t="str">
        <f>_xlfn.XLOOKUP(tblAlocacao[[#This Row],[Nome do Instrutor]],tblInstrutores[NOME_COMPLETO],tblInstrutores[ID],"")</f>
        <v/>
      </c>
      <c r="H273" t="str">
        <f>_xlfn.XLOOKUP(tblAlocacao[[#This Row],[TURMA]],tblTurmas[CODIGO_TURMA],tblTurmas[INSTRUTOR],"")</f>
        <v/>
      </c>
      <c r="I273" t="str">
        <f>_xlfn.XLOOKUP(tblAlocacao[[#This Row],[AMBIENTE]],tblAmbientes[NOME_AMBIENTE],tblAmbientes[ID],"")</f>
        <v/>
      </c>
      <c r="K273" t="str">
        <f>_xlfn.XLOOKUP(tblAlocacao[[#This Row],['#VALOR!]],tblTurnos[TURNO],tblTurnos[ID_TURNO],"")</f>
        <v/>
      </c>
      <c r="L273" t="str">
        <f>_xlfn.XLOOKUP(tblAlocacao[[#This Row],[TURMA]],tblTurmas[CODIGO_TURMA],tblTurmas[TURNO],"")</f>
        <v/>
      </c>
      <c r="M273" t="str">
        <f>_xlfn.XLOOKUP(tblAlocacao[[#This Row],[MODALIDADE]], tblModalidades[MODALIDADE], tblModalidades[ID_MODALIDADE],"")</f>
        <v/>
      </c>
      <c r="O273" s="32"/>
      <c r="P273" s="32"/>
      <c r="Q273" s="33" t="e">
        <f>($P273-$O273)-_xlfn.XLOOKUP(tblAlocacao[[#This Row],[TURMA]],tblTurmas[CODIGO_TURMA],tblTurmas[INTERVALO],"")</f>
        <v>#VALUE!</v>
      </c>
    </row>
    <row r="274" spans="1:17" x14ac:dyDescent="0.35">
      <c r="A274">
        <v>273</v>
      </c>
      <c r="B274" s="2"/>
      <c r="C274" t="str">
        <f>_xlfn.XLOOKUP(tblAlocacao[[#This Row],[TURMA]],tblTurmas[CODIGO_TURMA],tblTurmas[ID_TURMA],"")</f>
        <v/>
      </c>
      <c r="E274" t="str">
        <f>_xlfn.XLOOKUP(tblAlocacao[[#This Row],[DISCIPLINA]],tblDisciplinas[NOME_DISCIPLINA],tblDisciplinas[ID_DISCIPLINA],"")</f>
        <v/>
      </c>
      <c r="F274" s="40"/>
      <c r="G274" t="str">
        <f>_xlfn.XLOOKUP(tblAlocacao[[#This Row],[Nome do Instrutor]],tblInstrutores[NOME_COMPLETO],tblInstrutores[ID],"")</f>
        <v/>
      </c>
      <c r="H274" t="str">
        <f>_xlfn.XLOOKUP(tblAlocacao[[#This Row],[TURMA]],tblTurmas[CODIGO_TURMA],tblTurmas[INSTRUTOR],"")</f>
        <v/>
      </c>
      <c r="I274" t="str">
        <f>_xlfn.XLOOKUP(tblAlocacao[[#This Row],[AMBIENTE]],tblAmbientes[NOME_AMBIENTE],tblAmbientes[ID],"")</f>
        <v/>
      </c>
      <c r="K274" t="str">
        <f>_xlfn.XLOOKUP(tblAlocacao[[#This Row],['#VALOR!]],tblTurnos[TURNO],tblTurnos[ID_TURNO],"")</f>
        <v/>
      </c>
      <c r="L274" t="str">
        <f>_xlfn.XLOOKUP(tblAlocacao[[#This Row],[TURMA]],tblTurmas[CODIGO_TURMA],tblTurmas[TURNO],"")</f>
        <v/>
      </c>
      <c r="M274" t="str">
        <f>_xlfn.XLOOKUP(tblAlocacao[[#This Row],[MODALIDADE]], tblModalidades[MODALIDADE], tblModalidades[ID_MODALIDADE],"")</f>
        <v/>
      </c>
      <c r="O274" s="32"/>
      <c r="P274" s="32"/>
      <c r="Q274" s="33" t="e">
        <f>($P274-$O274)-_xlfn.XLOOKUP(tblAlocacao[[#This Row],[TURMA]],tblTurmas[CODIGO_TURMA],tblTurmas[INTERVALO],"")</f>
        <v>#VALUE!</v>
      </c>
    </row>
    <row r="275" spans="1:17" x14ac:dyDescent="0.35">
      <c r="A275">
        <v>274</v>
      </c>
      <c r="B275" s="2"/>
      <c r="C275" t="str">
        <f>_xlfn.XLOOKUP(tblAlocacao[[#This Row],[TURMA]],tblTurmas[CODIGO_TURMA],tblTurmas[ID_TURMA],"")</f>
        <v/>
      </c>
      <c r="E275" t="str">
        <f>_xlfn.XLOOKUP(tblAlocacao[[#This Row],[DISCIPLINA]],tblDisciplinas[NOME_DISCIPLINA],tblDisciplinas[ID_DISCIPLINA],"")</f>
        <v/>
      </c>
      <c r="F275" s="40"/>
      <c r="G275" t="str">
        <f>_xlfn.XLOOKUP(tblAlocacao[[#This Row],[Nome do Instrutor]],tblInstrutores[NOME_COMPLETO],tblInstrutores[ID],"")</f>
        <v/>
      </c>
      <c r="H275" t="str">
        <f>_xlfn.XLOOKUP(tblAlocacao[[#This Row],[TURMA]],tblTurmas[CODIGO_TURMA],tblTurmas[INSTRUTOR],"")</f>
        <v/>
      </c>
      <c r="I275" t="str">
        <f>_xlfn.XLOOKUP(tblAlocacao[[#This Row],[AMBIENTE]],tblAmbientes[NOME_AMBIENTE],tblAmbientes[ID],"")</f>
        <v/>
      </c>
      <c r="K275" t="str">
        <f>_xlfn.XLOOKUP(tblAlocacao[[#This Row],['#VALOR!]],tblTurnos[TURNO],tblTurnos[ID_TURNO],"")</f>
        <v/>
      </c>
      <c r="L275" t="str">
        <f>_xlfn.XLOOKUP(tblAlocacao[[#This Row],[TURMA]],tblTurmas[CODIGO_TURMA],tblTurmas[TURNO],"")</f>
        <v/>
      </c>
      <c r="M275" t="str">
        <f>_xlfn.XLOOKUP(tblAlocacao[[#This Row],[MODALIDADE]], tblModalidades[MODALIDADE], tblModalidades[ID_MODALIDADE],"")</f>
        <v/>
      </c>
      <c r="O275" s="32"/>
      <c r="P275" s="32"/>
      <c r="Q275" s="33" t="e">
        <f>($P275-$O275)-_xlfn.XLOOKUP(tblAlocacao[[#This Row],[TURMA]],tblTurmas[CODIGO_TURMA],tblTurmas[INTERVALO],"")</f>
        <v>#VALUE!</v>
      </c>
    </row>
    <row r="276" spans="1:17" x14ac:dyDescent="0.35">
      <c r="A276">
        <v>275</v>
      </c>
      <c r="B276" s="2"/>
      <c r="C276" t="str">
        <f>_xlfn.XLOOKUP(tblAlocacao[[#This Row],[TURMA]],tblTurmas[CODIGO_TURMA],tblTurmas[ID_TURMA],"")</f>
        <v/>
      </c>
      <c r="E276" t="str">
        <f>_xlfn.XLOOKUP(tblAlocacao[[#This Row],[DISCIPLINA]],tblDisciplinas[NOME_DISCIPLINA],tblDisciplinas[ID_DISCIPLINA],"")</f>
        <v/>
      </c>
      <c r="F276" s="40"/>
      <c r="G276" t="str">
        <f>_xlfn.XLOOKUP(tblAlocacao[[#This Row],[Nome do Instrutor]],tblInstrutores[NOME_COMPLETO],tblInstrutores[ID],"")</f>
        <v/>
      </c>
      <c r="H276" t="str">
        <f>_xlfn.XLOOKUP(tblAlocacao[[#This Row],[TURMA]],tblTurmas[CODIGO_TURMA],tblTurmas[INSTRUTOR],"")</f>
        <v/>
      </c>
      <c r="I276" t="str">
        <f>_xlfn.XLOOKUP(tblAlocacao[[#This Row],[AMBIENTE]],tblAmbientes[NOME_AMBIENTE],tblAmbientes[ID],"")</f>
        <v/>
      </c>
      <c r="K276" t="str">
        <f>_xlfn.XLOOKUP(tblAlocacao[[#This Row],['#VALOR!]],tblTurnos[TURNO],tblTurnos[ID_TURNO],"")</f>
        <v/>
      </c>
      <c r="L276" t="str">
        <f>_xlfn.XLOOKUP(tblAlocacao[[#This Row],[TURMA]],tblTurmas[CODIGO_TURMA],tblTurmas[TURNO],"")</f>
        <v/>
      </c>
      <c r="M276" t="str">
        <f>_xlfn.XLOOKUP(tblAlocacao[[#This Row],[MODALIDADE]], tblModalidades[MODALIDADE], tblModalidades[ID_MODALIDADE],"")</f>
        <v/>
      </c>
      <c r="O276" s="32"/>
      <c r="P276" s="32"/>
      <c r="Q276" s="33" t="e">
        <f>($P276-$O276)-_xlfn.XLOOKUP(tblAlocacao[[#This Row],[TURMA]],tblTurmas[CODIGO_TURMA],tblTurmas[INTERVALO],"")</f>
        <v>#VALUE!</v>
      </c>
    </row>
    <row r="277" spans="1:17" x14ac:dyDescent="0.35">
      <c r="A277">
        <v>276</v>
      </c>
      <c r="B277" s="2"/>
      <c r="C277" t="str">
        <f>_xlfn.XLOOKUP(tblAlocacao[[#This Row],[TURMA]],tblTurmas[CODIGO_TURMA],tblTurmas[ID_TURMA],"")</f>
        <v/>
      </c>
      <c r="E277" t="str">
        <f>_xlfn.XLOOKUP(tblAlocacao[[#This Row],[DISCIPLINA]],tblDisciplinas[NOME_DISCIPLINA],tblDisciplinas[ID_DISCIPLINA],"")</f>
        <v/>
      </c>
      <c r="F277" s="40"/>
      <c r="G277" t="str">
        <f>_xlfn.XLOOKUP(tblAlocacao[[#This Row],[Nome do Instrutor]],tblInstrutores[NOME_COMPLETO],tblInstrutores[ID],"")</f>
        <v/>
      </c>
      <c r="H277" t="str">
        <f>_xlfn.XLOOKUP(tblAlocacao[[#This Row],[TURMA]],tblTurmas[CODIGO_TURMA],tblTurmas[INSTRUTOR],"")</f>
        <v/>
      </c>
      <c r="I277" t="str">
        <f>_xlfn.XLOOKUP(tblAlocacao[[#This Row],[AMBIENTE]],tblAmbientes[NOME_AMBIENTE],tblAmbientes[ID],"")</f>
        <v/>
      </c>
      <c r="K277" t="str">
        <f>_xlfn.XLOOKUP(tblAlocacao[[#This Row],['#VALOR!]],tblTurnos[TURNO],tblTurnos[ID_TURNO],"")</f>
        <v/>
      </c>
      <c r="L277" t="str">
        <f>_xlfn.XLOOKUP(tblAlocacao[[#This Row],[TURMA]],tblTurmas[CODIGO_TURMA],tblTurmas[TURNO],"")</f>
        <v/>
      </c>
      <c r="M277" t="str">
        <f>_xlfn.XLOOKUP(tblAlocacao[[#This Row],[MODALIDADE]], tblModalidades[MODALIDADE], tblModalidades[ID_MODALIDADE],"")</f>
        <v/>
      </c>
      <c r="O277" s="32"/>
      <c r="P277" s="32"/>
      <c r="Q277" s="33" t="e">
        <f>($P277-$O277)-_xlfn.XLOOKUP(tblAlocacao[[#This Row],[TURMA]],tblTurmas[CODIGO_TURMA],tblTurmas[INTERVALO],"")</f>
        <v>#VALUE!</v>
      </c>
    </row>
    <row r="278" spans="1:17" x14ac:dyDescent="0.35">
      <c r="A278">
        <v>277</v>
      </c>
      <c r="B278" s="2"/>
      <c r="C278" t="str">
        <f>_xlfn.XLOOKUP(tblAlocacao[[#This Row],[TURMA]],tblTurmas[CODIGO_TURMA],tblTurmas[ID_TURMA],"")</f>
        <v/>
      </c>
      <c r="E278" t="str">
        <f>_xlfn.XLOOKUP(tblAlocacao[[#This Row],[DISCIPLINA]],tblDisciplinas[NOME_DISCIPLINA],tblDisciplinas[ID_DISCIPLINA],"")</f>
        <v/>
      </c>
      <c r="F278" s="40"/>
      <c r="G278" t="str">
        <f>_xlfn.XLOOKUP(tblAlocacao[[#This Row],[Nome do Instrutor]],tblInstrutores[NOME_COMPLETO],tblInstrutores[ID],"")</f>
        <v/>
      </c>
      <c r="H278" t="str">
        <f>_xlfn.XLOOKUP(tblAlocacao[[#This Row],[TURMA]],tblTurmas[CODIGO_TURMA],tblTurmas[INSTRUTOR],"")</f>
        <v/>
      </c>
      <c r="I278" t="str">
        <f>_xlfn.XLOOKUP(tblAlocacao[[#This Row],[AMBIENTE]],tblAmbientes[NOME_AMBIENTE],tblAmbientes[ID],"")</f>
        <v/>
      </c>
      <c r="K278" t="str">
        <f>_xlfn.XLOOKUP(tblAlocacao[[#This Row],['#VALOR!]],tblTurnos[TURNO],tblTurnos[ID_TURNO],"")</f>
        <v/>
      </c>
      <c r="L278" t="str">
        <f>_xlfn.XLOOKUP(tblAlocacao[[#This Row],[TURMA]],tblTurmas[CODIGO_TURMA],tblTurmas[TURNO],"")</f>
        <v/>
      </c>
      <c r="M278" t="str">
        <f>_xlfn.XLOOKUP(tblAlocacao[[#This Row],[MODALIDADE]], tblModalidades[MODALIDADE], tblModalidades[ID_MODALIDADE],"")</f>
        <v/>
      </c>
      <c r="O278" s="32"/>
      <c r="P278" s="32"/>
      <c r="Q278" s="33" t="e">
        <f>($P278-$O278)-_xlfn.XLOOKUP(tblAlocacao[[#This Row],[TURMA]],tblTurmas[CODIGO_TURMA],tblTurmas[INTERVALO],"")</f>
        <v>#VALUE!</v>
      </c>
    </row>
    <row r="279" spans="1:17" x14ac:dyDescent="0.35">
      <c r="A279">
        <v>278</v>
      </c>
      <c r="B279" s="2"/>
      <c r="C279" t="str">
        <f>_xlfn.XLOOKUP(tblAlocacao[[#This Row],[TURMA]],tblTurmas[CODIGO_TURMA],tblTurmas[ID_TURMA],"")</f>
        <v/>
      </c>
      <c r="E279" t="str">
        <f>_xlfn.XLOOKUP(tblAlocacao[[#This Row],[DISCIPLINA]],tblDisciplinas[NOME_DISCIPLINA],tblDisciplinas[ID_DISCIPLINA],"")</f>
        <v/>
      </c>
      <c r="F279" s="40"/>
      <c r="G279" t="str">
        <f>_xlfn.XLOOKUP(tblAlocacao[[#This Row],[Nome do Instrutor]],tblInstrutores[NOME_COMPLETO],tblInstrutores[ID],"")</f>
        <v/>
      </c>
      <c r="H279" t="str">
        <f>_xlfn.XLOOKUP(tblAlocacao[[#This Row],[TURMA]],tblTurmas[CODIGO_TURMA],tblTurmas[INSTRUTOR],"")</f>
        <v/>
      </c>
      <c r="I279" t="str">
        <f>_xlfn.XLOOKUP(tblAlocacao[[#This Row],[AMBIENTE]],tblAmbientes[NOME_AMBIENTE],tblAmbientes[ID],"")</f>
        <v/>
      </c>
      <c r="K279" t="str">
        <f>_xlfn.XLOOKUP(tblAlocacao[[#This Row],['#VALOR!]],tblTurnos[TURNO],tblTurnos[ID_TURNO],"")</f>
        <v/>
      </c>
      <c r="L279" t="str">
        <f>_xlfn.XLOOKUP(tblAlocacao[[#This Row],[TURMA]],tblTurmas[CODIGO_TURMA],tblTurmas[TURNO],"")</f>
        <v/>
      </c>
      <c r="M279" t="str">
        <f>_xlfn.XLOOKUP(tblAlocacao[[#This Row],[MODALIDADE]], tblModalidades[MODALIDADE], tblModalidades[ID_MODALIDADE],"")</f>
        <v/>
      </c>
      <c r="O279" s="32"/>
      <c r="P279" s="32"/>
      <c r="Q279" s="33" t="e">
        <f>($P279-$O279)-_xlfn.XLOOKUP(tblAlocacao[[#This Row],[TURMA]],tblTurmas[CODIGO_TURMA],tblTurmas[INTERVALO],"")</f>
        <v>#VALUE!</v>
      </c>
    </row>
    <row r="280" spans="1:17" x14ac:dyDescent="0.35">
      <c r="A280">
        <v>279</v>
      </c>
      <c r="B280" s="2"/>
      <c r="C280" t="str">
        <f>_xlfn.XLOOKUP(tblAlocacao[[#This Row],[TURMA]],tblTurmas[CODIGO_TURMA],tblTurmas[ID_TURMA],"")</f>
        <v/>
      </c>
      <c r="E280" t="str">
        <f>_xlfn.XLOOKUP(tblAlocacao[[#This Row],[DISCIPLINA]],tblDisciplinas[NOME_DISCIPLINA],tblDisciplinas[ID_DISCIPLINA],"")</f>
        <v/>
      </c>
      <c r="F280" s="40"/>
      <c r="G280" t="str">
        <f>_xlfn.XLOOKUP(tblAlocacao[[#This Row],[Nome do Instrutor]],tblInstrutores[NOME_COMPLETO],tblInstrutores[ID],"")</f>
        <v/>
      </c>
      <c r="H280" t="str">
        <f>_xlfn.XLOOKUP(tblAlocacao[[#This Row],[TURMA]],tblTurmas[CODIGO_TURMA],tblTurmas[INSTRUTOR],"")</f>
        <v/>
      </c>
      <c r="I280" t="str">
        <f>_xlfn.XLOOKUP(tblAlocacao[[#This Row],[AMBIENTE]],tblAmbientes[NOME_AMBIENTE],tblAmbientes[ID],"")</f>
        <v/>
      </c>
      <c r="K280" t="str">
        <f>_xlfn.XLOOKUP(tblAlocacao[[#This Row],['#VALOR!]],tblTurnos[TURNO],tblTurnos[ID_TURNO],"")</f>
        <v/>
      </c>
      <c r="L280" t="str">
        <f>_xlfn.XLOOKUP(tblAlocacao[[#This Row],[TURMA]],tblTurmas[CODIGO_TURMA],tblTurmas[TURNO],"")</f>
        <v/>
      </c>
      <c r="M280" t="str">
        <f>_xlfn.XLOOKUP(tblAlocacao[[#This Row],[MODALIDADE]], tblModalidades[MODALIDADE], tblModalidades[ID_MODALIDADE],"")</f>
        <v/>
      </c>
      <c r="O280" s="32"/>
      <c r="P280" s="32"/>
      <c r="Q280" s="33" t="e">
        <f>($P280-$O280)-_xlfn.XLOOKUP(tblAlocacao[[#This Row],[TURMA]],tblTurmas[CODIGO_TURMA],tblTurmas[INTERVALO],"")</f>
        <v>#VALUE!</v>
      </c>
    </row>
    <row r="281" spans="1:17" x14ac:dyDescent="0.35">
      <c r="A281">
        <v>280</v>
      </c>
      <c r="B281" s="2"/>
      <c r="C281" t="str">
        <f>_xlfn.XLOOKUP(tblAlocacao[[#This Row],[TURMA]],tblTurmas[CODIGO_TURMA],tblTurmas[ID_TURMA],"")</f>
        <v/>
      </c>
      <c r="E281" t="str">
        <f>_xlfn.XLOOKUP(tblAlocacao[[#This Row],[DISCIPLINA]],tblDisciplinas[NOME_DISCIPLINA],tblDisciplinas[ID_DISCIPLINA],"")</f>
        <v/>
      </c>
      <c r="F281" s="40"/>
      <c r="G281" t="str">
        <f>_xlfn.XLOOKUP(tblAlocacao[[#This Row],[Nome do Instrutor]],tblInstrutores[NOME_COMPLETO],tblInstrutores[ID],"")</f>
        <v/>
      </c>
      <c r="H281" t="str">
        <f>_xlfn.XLOOKUP(tblAlocacao[[#This Row],[TURMA]],tblTurmas[CODIGO_TURMA],tblTurmas[INSTRUTOR],"")</f>
        <v/>
      </c>
      <c r="I281" t="str">
        <f>_xlfn.XLOOKUP(tblAlocacao[[#This Row],[AMBIENTE]],tblAmbientes[NOME_AMBIENTE],tblAmbientes[ID],"")</f>
        <v/>
      </c>
      <c r="K281" t="str">
        <f>_xlfn.XLOOKUP(tblAlocacao[[#This Row],['#VALOR!]],tblTurnos[TURNO],tblTurnos[ID_TURNO],"")</f>
        <v/>
      </c>
      <c r="L281" t="str">
        <f>_xlfn.XLOOKUP(tblAlocacao[[#This Row],[TURMA]],tblTurmas[CODIGO_TURMA],tblTurmas[TURNO],"")</f>
        <v/>
      </c>
      <c r="M281" t="str">
        <f>_xlfn.XLOOKUP(tblAlocacao[[#This Row],[MODALIDADE]], tblModalidades[MODALIDADE], tblModalidades[ID_MODALIDADE],"")</f>
        <v/>
      </c>
      <c r="O281" s="32"/>
      <c r="P281" s="32"/>
      <c r="Q281" s="33" t="e">
        <f>($P281-$O281)-_xlfn.XLOOKUP(tblAlocacao[[#This Row],[TURMA]],tblTurmas[CODIGO_TURMA],tblTurmas[INTERVALO],"")</f>
        <v>#VALUE!</v>
      </c>
    </row>
    <row r="282" spans="1:17" x14ac:dyDescent="0.35">
      <c r="A282">
        <v>281</v>
      </c>
      <c r="B282" s="2"/>
      <c r="C282" t="str">
        <f>_xlfn.XLOOKUP(tblAlocacao[[#This Row],[TURMA]],tblTurmas[CODIGO_TURMA],tblTurmas[ID_TURMA],"")</f>
        <v/>
      </c>
      <c r="E282" t="str">
        <f>_xlfn.XLOOKUP(tblAlocacao[[#This Row],[DISCIPLINA]],tblDisciplinas[NOME_DISCIPLINA],tblDisciplinas[ID_DISCIPLINA],"")</f>
        <v/>
      </c>
      <c r="F282" s="40"/>
      <c r="G282" t="str">
        <f>_xlfn.XLOOKUP(tblAlocacao[[#This Row],[Nome do Instrutor]],tblInstrutores[NOME_COMPLETO],tblInstrutores[ID],"")</f>
        <v/>
      </c>
      <c r="H282" t="str">
        <f>_xlfn.XLOOKUP(tblAlocacao[[#This Row],[TURMA]],tblTurmas[CODIGO_TURMA],tblTurmas[INSTRUTOR],"")</f>
        <v/>
      </c>
      <c r="I282" t="str">
        <f>_xlfn.XLOOKUP(tblAlocacao[[#This Row],[AMBIENTE]],tblAmbientes[NOME_AMBIENTE],tblAmbientes[ID],"")</f>
        <v/>
      </c>
      <c r="K282" t="str">
        <f>_xlfn.XLOOKUP(tblAlocacao[[#This Row],['#VALOR!]],tblTurnos[TURNO],tblTurnos[ID_TURNO],"")</f>
        <v/>
      </c>
      <c r="L282" t="str">
        <f>_xlfn.XLOOKUP(tblAlocacao[[#This Row],[TURMA]],tblTurmas[CODIGO_TURMA],tblTurmas[TURNO],"")</f>
        <v/>
      </c>
      <c r="M282" t="str">
        <f>_xlfn.XLOOKUP(tblAlocacao[[#This Row],[MODALIDADE]], tblModalidades[MODALIDADE], tblModalidades[ID_MODALIDADE],"")</f>
        <v/>
      </c>
      <c r="O282" s="32"/>
      <c r="P282" s="32"/>
      <c r="Q282" s="33" t="e">
        <f>($P282-$O282)-_xlfn.XLOOKUP(tblAlocacao[[#This Row],[TURMA]],tblTurmas[CODIGO_TURMA],tblTurmas[INTERVALO],"")</f>
        <v>#VALUE!</v>
      </c>
    </row>
    <row r="283" spans="1:17" x14ac:dyDescent="0.35">
      <c r="A283">
        <v>282</v>
      </c>
      <c r="B283" s="2"/>
      <c r="C283" t="str">
        <f>_xlfn.XLOOKUP(tblAlocacao[[#This Row],[TURMA]],tblTurmas[CODIGO_TURMA],tblTurmas[ID_TURMA],"")</f>
        <v/>
      </c>
      <c r="E283" t="str">
        <f>_xlfn.XLOOKUP(tblAlocacao[[#This Row],[DISCIPLINA]],tblDisciplinas[NOME_DISCIPLINA],tblDisciplinas[ID_DISCIPLINA],"")</f>
        <v/>
      </c>
      <c r="F283" s="40"/>
      <c r="G283" t="str">
        <f>_xlfn.XLOOKUP(tblAlocacao[[#This Row],[Nome do Instrutor]],tblInstrutores[NOME_COMPLETO],tblInstrutores[ID],"")</f>
        <v/>
      </c>
      <c r="H283" t="str">
        <f>_xlfn.XLOOKUP(tblAlocacao[[#This Row],[TURMA]],tblTurmas[CODIGO_TURMA],tblTurmas[INSTRUTOR],"")</f>
        <v/>
      </c>
      <c r="I283" t="str">
        <f>_xlfn.XLOOKUP(tblAlocacao[[#This Row],[AMBIENTE]],tblAmbientes[NOME_AMBIENTE],tblAmbientes[ID],"")</f>
        <v/>
      </c>
      <c r="K283" t="str">
        <f>_xlfn.XLOOKUP(tblAlocacao[[#This Row],['#VALOR!]],tblTurnos[TURNO],tblTurnos[ID_TURNO],"")</f>
        <v/>
      </c>
      <c r="L283" t="str">
        <f>_xlfn.XLOOKUP(tblAlocacao[[#This Row],[TURMA]],tblTurmas[CODIGO_TURMA],tblTurmas[TURNO],"")</f>
        <v/>
      </c>
      <c r="M283" t="str">
        <f>_xlfn.XLOOKUP(tblAlocacao[[#This Row],[MODALIDADE]], tblModalidades[MODALIDADE], tblModalidades[ID_MODALIDADE],"")</f>
        <v/>
      </c>
      <c r="O283" s="32"/>
      <c r="P283" s="32"/>
      <c r="Q283" s="33" t="e">
        <f>($P283-$O283)-_xlfn.XLOOKUP(tblAlocacao[[#This Row],[TURMA]],tblTurmas[CODIGO_TURMA],tblTurmas[INTERVALO],"")</f>
        <v>#VALUE!</v>
      </c>
    </row>
    <row r="284" spans="1:17" x14ac:dyDescent="0.35">
      <c r="A284">
        <v>283</v>
      </c>
      <c r="B284" s="2"/>
      <c r="C284" t="str">
        <f>_xlfn.XLOOKUP(tblAlocacao[[#This Row],[TURMA]],tblTurmas[CODIGO_TURMA],tblTurmas[ID_TURMA],"")</f>
        <v/>
      </c>
      <c r="E284" t="str">
        <f>_xlfn.XLOOKUP(tblAlocacao[[#This Row],[DISCIPLINA]],tblDisciplinas[NOME_DISCIPLINA],tblDisciplinas[ID_DISCIPLINA],"")</f>
        <v/>
      </c>
      <c r="F284" s="40"/>
      <c r="G284" t="str">
        <f>_xlfn.XLOOKUP(tblAlocacao[[#This Row],[Nome do Instrutor]],tblInstrutores[NOME_COMPLETO],tblInstrutores[ID],"")</f>
        <v/>
      </c>
      <c r="H284" t="str">
        <f>_xlfn.XLOOKUP(tblAlocacao[[#This Row],[TURMA]],tblTurmas[CODIGO_TURMA],tblTurmas[INSTRUTOR],"")</f>
        <v/>
      </c>
      <c r="I284" t="str">
        <f>_xlfn.XLOOKUP(tblAlocacao[[#This Row],[AMBIENTE]],tblAmbientes[NOME_AMBIENTE],tblAmbientes[ID],"")</f>
        <v/>
      </c>
      <c r="K284" t="str">
        <f>_xlfn.XLOOKUP(tblAlocacao[[#This Row],['#VALOR!]],tblTurnos[TURNO],tblTurnos[ID_TURNO],"")</f>
        <v/>
      </c>
      <c r="L284" t="str">
        <f>_xlfn.XLOOKUP(tblAlocacao[[#This Row],[TURMA]],tblTurmas[CODIGO_TURMA],tblTurmas[TURNO],"")</f>
        <v/>
      </c>
      <c r="M284" t="str">
        <f>_xlfn.XLOOKUP(tblAlocacao[[#This Row],[MODALIDADE]], tblModalidades[MODALIDADE], tblModalidades[ID_MODALIDADE],"")</f>
        <v/>
      </c>
      <c r="O284" s="32"/>
      <c r="P284" s="32"/>
      <c r="Q284" s="33" t="e">
        <f>($P284-$O284)-_xlfn.XLOOKUP(tblAlocacao[[#This Row],[TURMA]],tblTurmas[CODIGO_TURMA],tblTurmas[INTERVALO],"")</f>
        <v>#VALUE!</v>
      </c>
    </row>
    <row r="285" spans="1:17" x14ac:dyDescent="0.35">
      <c r="A285">
        <v>284</v>
      </c>
      <c r="B285" s="2"/>
      <c r="C285" t="str">
        <f>_xlfn.XLOOKUP(tblAlocacao[[#This Row],[TURMA]],tblTurmas[CODIGO_TURMA],tblTurmas[ID_TURMA],"")</f>
        <v/>
      </c>
      <c r="E285" t="str">
        <f>_xlfn.XLOOKUP(tblAlocacao[[#This Row],[DISCIPLINA]],tblDisciplinas[NOME_DISCIPLINA],tblDisciplinas[ID_DISCIPLINA],"")</f>
        <v/>
      </c>
      <c r="F285" s="40"/>
      <c r="G285" t="str">
        <f>_xlfn.XLOOKUP(tblAlocacao[[#This Row],[Nome do Instrutor]],tblInstrutores[NOME_COMPLETO],tblInstrutores[ID],"")</f>
        <v/>
      </c>
      <c r="H285" t="str">
        <f>_xlfn.XLOOKUP(tblAlocacao[[#This Row],[TURMA]],tblTurmas[CODIGO_TURMA],tblTurmas[INSTRUTOR],"")</f>
        <v/>
      </c>
      <c r="I285" t="str">
        <f>_xlfn.XLOOKUP(tblAlocacao[[#This Row],[AMBIENTE]],tblAmbientes[NOME_AMBIENTE],tblAmbientes[ID],"")</f>
        <v/>
      </c>
      <c r="K285" t="str">
        <f>_xlfn.XLOOKUP(tblAlocacao[[#This Row],['#VALOR!]],tblTurnos[TURNO],tblTurnos[ID_TURNO],"")</f>
        <v/>
      </c>
      <c r="L285" t="str">
        <f>_xlfn.XLOOKUP(tblAlocacao[[#This Row],[TURMA]],tblTurmas[CODIGO_TURMA],tblTurmas[TURNO],"")</f>
        <v/>
      </c>
      <c r="M285" t="str">
        <f>_xlfn.XLOOKUP(tblAlocacao[[#This Row],[MODALIDADE]], tblModalidades[MODALIDADE], tblModalidades[ID_MODALIDADE],"")</f>
        <v/>
      </c>
      <c r="O285" s="32"/>
      <c r="P285" s="32"/>
      <c r="Q285" s="33" t="e">
        <f>($P285-$O285)-_xlfn.XLOOKUP(tblAlocacao[[#This Row],[TURMA]],tblTurmas[CODIGO_TURMA],tblTurmas[INTERVALO],"")</f>
        <v>#VALUE!</v>
      </c>
    </row>
    <row r="286" spans="1:17" x14ac:dyDescent="0.35">
      <c r="A286">
        <v>285</v>
      </c>
      <c r="B286" s="2"/>
      <c r="C286" t="str">
        <f>_xlfn.XLOOKUP(tblAlocacao[[#This Row],[TURMA]],tblTurmas[CODIGO_TURMA],tblTurmas[ID_TURMA],"")</f>
        <v/>
      </c>
      <c r="E286" t="str">
        <f>_xlfn.XLOOKUP(tblAlocacao[[#This Row],[DISCIPLINA]],tblDisciplinas[NOME_DISCIPLINA],tblDisciplinas[ID_DISCIPLINA],"")</f>
        <v/>
      </c>
      <c r="F286" s="40"/>
      <c r="G286" t="str">
        <f>_xlfn.XLOOKUP(tblAlocacao[[#This Row],[Nome do Instrutor]],tblInstrutores[NOME_COMPLETO],tblInstrutores[ID],"")</f>
        <v/>
      </c>
      <c r="H286" t="str">
        <f>_xlfn.XLOOKUP(tblAlocacao[[#This Row],[TURMA]],tblTurmas[CODIGO_TURMA],tblTurmas[INSTRUTOR],"")</f>
        <v/>
      </c>
      <c r="I286" t="str">
        <f>_xlfn.XLOOKUP(tblAlocacao[[#This Row],[AMBIENTE]],tblAmbientes[NOME_AMBIENTE],tblAmbientes[ID],"")</f>
        <v/>
      </c>
      <c r="K286" t="str">
        <f>_xlfn.XLOOKUP(tblAlocacao[[#This Row],['#VALOR!]],tblTurnos[TURNO],tblTurnos[ID_TURNO],"")</f>
        <v/>
      </c>
      <c r="L286" t="str">
        <f>_xlfn.XLOOKUP(tblAlocacao[[#This Row],[TURMA]],tblTurmas[CODIGO_TURMA],tblTurmas[TURNO],"")</f>
        <v/>
      </c>
      <c r="M286" t="str">
        <f>_xlfn.XLOOKUP(tblAlocacao[[#This Row],[MODALIDADE]], tblModalidades[MODALIDADE], tblModalidades[ID_MODALIDADE],"")</f>
        <v/>
      </c>
      <c r="O286" s="32"/>
      <c r="P286" s="32"/>
      <c r="Q286" s="33" t="e">
        <f>($P286-$O286)-_xlfn.XLOOKUP(tblAlocacao[[#This Row],[TURMA]],tblTurmas[CODIGO_TURMA],tblTurmas[INTERVALO],"")</f>
        <v>#VALUE!</v>
      </c>
    </row>
  </sheetData>
  <phoneticPr fontId="1" type="noConversion"/>
  <dataValidations count="2">
    <dataValidation type="list" allowBlank="1" showInputMessage="1" showErrorMessage="1" sqref="F2:F286" xr:uid="{6A7854FF-C5AE-4EB3-BA7E-CF23A2765471}">
      <formula1>INDIRECT(D2)</formula1>
    </dataValidation>
    <dataValidation type="list" allowBlank="1" showInputMessage="1" showErrorMessage="1" sqref="S2:S286" xr:uid="{B8533C93-6F95-4044-BA44-BA363124A532}">
      <formula1>"Concluída, Cancelada"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7D114B-F206-43CE-9FB8-893344D3F62C}">
          <x14:formula1>
            <xm:f>MODALIDADES!$B$3:$B$4</xm:f>
          </x14:formula1>
          <xm:sqref>N2:N286</xm:sqref>
        </x14:dataValidation>
        <x14:dataValidation type="list" allowBlank="1" showInputMessage="1" showErrorMessage="1" xr:uid="{63F23B5E-BA18-4582-BB91-070D1EDC9909}">
          <x14:formula1>
            <xm:f>TURMAS!$B$2:$B$4</xm:f>
          </x14:formula1>
          <xm:sqref>D2:D286</xm:sqref>
        </x14:dataValidation>
        <x14:dataValidation type="list" showInputMessage="1" showErrorMessage="1" xr:uid="{D6FFFEC3-50E8-4983-9F6A-CDD4C26B6DA6}">
          <x14:formula1>
            <xm:f>AMBIENTES!$B$2:$B$17</xm:f>
          </x14:formula1>
          <xm:sqref>J2:J286</xm:sqref>
        </x14:dataValidation>
        <x14:dataValidation type="list" showInputMessage="1" showErrorMessage="1" xr:uid="{D67434E0-3219-4995-8372-2DCBBF97272B}">
          <x14:formula1>
            <xm:f>AMBIENTES!$A$2:$A$17</xm:f>
          </x14:formula1>
          <xm:sqref>I3:I286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6166-EF05-4CB5-8C0C-BABCF46D41E8}">
  <sheetPr codeName="Planilha9">
    <tabColor theme="5" tint="0.39997558519241921"/>
  </sheetPr>
  <dimension ref="A1:J433"/>
  <sheetViews>
    <sheetView zoomScaleNormal="100" workbookViewId="0">
      <selection activeCell="C23" sqref="C23"/>
    </sheetView>
  </sheetViews>
  <sheetFormatPr defaultRowHeight="14.5" x14ac:dyDescent="0.35"/>
  <cols>
    <col min="1" max="1" width="11.453125" bestFit="1" customWidth="1"/>
    <col min="2" max="2" width="14.7265625" customWidth="1"/>
    <col min="3" max="3" width="28.1796875" bestFit="1" customWidth="1"/>
    <col min="4" max="5" width="11.7265625" customWidth="1"/>
    <col min="6" max="6" width="19.26953125" customWidth="1"/>
    <col min="7" max="7" width="13.81640625" customWidth="1"/>
    <col min="8" max="8" width="24.7265625" customWidth="1"/>
    <col min="9" max="9" width="20.26953125" customWidth="1"/>
    <col min="10" max="10" width="16.81640625" customWidth="1"/>
  </cols>
  <sheetData>
    <row r="1" spans="1:10" x14ac:dyDescent="0.35">
      <c r="A1" t="s">
        <v>23</v>
      </c>
      <c r="B1" t="s">
        <v>139</v>
      </c>
      <c r="C1" t="s">
        <v>237</v>
      </c>
      <c r="D1" t="s">
        <v>2</v>
      </c>
      <c r="E1" t="s">
        <v>3</v>
      </c>
      <c r="F1" t="s">
        <v>131</v>
      </c>
      <c r="G1" t="s">
        <v>99</v>
      </c>
      <c r="H1" t="s">
        <v>147</v>
      </c>
      <c r="I1" t="s">
        <v>148</v>
      </c>
      <c r="J1" t="s">
        <v>149</v>
      </c>
    </row>
    <row r="2" spans="1:10" x14ac:dyDescent="0.35">
      <c r="A2" s="2">
        <v>46091</v>
      </c>
      <c r="B2">
        <f>_xlfn.XLOOKUP(tblOcupacao[[#This Row],[AMBIENTE]],tblAmbientes[NOME_AMBIENTE],tblAmbientes[ID],"")</f>
        <v>4</v>
      </c>
      <c r="C2" t="s">
        <v>106</v>
      </c>
      <c r="D2">
        <f>_xlfn.XLOOKUP(tblOcupacao[[#This Row],[TURNO]],tblTurnos[TURNO],tblTurnos[ID_TURNO],"")</f>
        <v>1</v>
      </c>
      <c r="E2" t="s">
        <v>7</v>
      </c>
      <c r="F2">
        <v>22</v>
      </c>
      <c r="G2">
        <v>24</v>
      </c>
      <c r="H2" s="35">
        <f t="shared" ref="H2:H18" si="0">$F2/$G2</f>
        <v>0.91666666666666663</v>
      </c>
      <c r="I2" t="str">
        <f>IF(tblOcupacao[[#This Row],[PERCENTUAL_OCUPACAO]]&gt;0.75,"ALTA",IF(AND(tblOcupacao[[#This Row],[PERCENTUAL_OCUPACAO]]&lt;0.74,tblOcupacao[[#This Row],[PERCENTUAL_OCUPACAO]]&gt;0.5),"MÉDIO","BAIXO"))</f>
        <v>ALTA</v>
      </c>
      <c r="J2" t="s">
        <v>197</v>
      </c>
    </row>
    <row r="3" spans="1:10" x14ac:dyDescent="0.35">
      <c r="A3" s="2">
        <v>46092</v>
      </c>
      <c r="B3">
        <f>_xlfn.XLOOKUP(tblOcupacao[[#This Row],[AMBIENTE]],tblAmbientes[NOME_AMBIENTE],tblAmbientes[ID],"")</f>
        <v>4</v>
      </c>
      <c r="C3" t="s">
        <v>106</v>
      </c>
      <c r="D3">
        <f>_xlfn.XLOOKUP(tblOcupacao[[#This Row],[TURNO]],tblTurnos[TURNO],tblTurnos[ID_TURNO],"")</f>
        <v>1</v>
      </c>
      <c r="E3" t="s">
        <v>7</v>
      </c>
      <c r="F3">
        <v>22</v>
      </c>
      <c r="G3">
        <v>24</v>
      </c>
      <c r="H3" s="35">
        <f t="shared" si="0"/>
        <v>0.91666666666666663</v>
      </c>
      <c r="I3" t="str">
        <f>IF(tblOcupacao[[#This Row],[PERCENTUAL_OCUPACAO]]&gt;0.75,"ALTA",IF(AND(tblOcupacao[[#This Row],[PERCENTUAL_OCUPACAO]]&lt;0.74,tblOcupacao[[#This Row],[PERCENTUAL_OCUPACAO]]&gt;0.5),"MÉDIO","BAIXO"))</f>
        <v>ALTA</v>
      </c>
      <c r="J3" t="s">
        <v>197</v>
      </c>
    </row>
    <row r="4" spans="1:10" x14ac:dyDescent="0.35">
      <c r="A4" s="2">
        <v>46093</v>
      </c>
      <c r="B4">
        <f>_xlfn.XLOOKUP(tblOcupacao[[#This Row],[AMBIENTE]],tblAmbientes[NOME_AMBIENTE],tblAmbientes[ID],"")</f>
        <v>4</v>
      </c>
      <c r="C4" t="s">
        <v>106</v>
      </c>
      <c r="D4">
        <f>_xlfn.XLOOKUP(tblOcupacao[[#This Row],[TURNO]],tblTurnos[TURNO],tblTurnos[ID_TURNO],"")</f>
        <v>1</v>
      </c>
      <c r="E4" t="s">
        <v>7</v>
      </c>
      <c r="F4">
        <v>22</v>
      </c>
      <c r="G4">
        <v>24</v>
      </c>
      <c r="H4" s="35">
        <f t="shared" si="0"/>
        <v>0.91666666666666663</v>
      </c>
      <c r="I4" t="str">
        <f>IF(tblOcupacao[[#This Row],[PERCENTUAL_OCUPACAO]]&gt;0.75,"ALTA",IF(AND(tblOcupacao[[#This Row],[PERCENTUAL_OCUPACAO]]&lt;0.74,tblOcupacao[[#This Row],[PERCENTUAL_OCUPACAO]]&gt;0.5),"MÉDIO","BAIXO"))</f>
        <v>ALTA</v>
      </c>
      <c r="J4" t="s">
        <v>197</v>
      </c>
    </row>
    <row r="5" spans="1:10" x14ac:dyDescent="0.35">
      <c r="A5" s="2">
        <v>46097</v>
      </c>
      <c r="B5">
        <f>_xlfn.XLOOKUP(tblOcupacao[[#This Row],[AMBIENTE]],tblAmbientes[NOME_AMBIENTE],tblAmbientes[ID],"")</f>
        <v>4</v>
      </c>
      <c r="C5" t="s">
        <v>106</v>
      </c>
      <c r="D5">
        <f>_xlfn.XLOOKUP(tblOcupacao[[#This Row],[TURNO]],tblTurnos[TURNO],tblTurnos[ID_TURNO],"")</f>
        <v>1</v>
      </c>
      <c r="E5" t="s">
        <v>7</v>
      </c>
      <c r="F5">
        <v>22</v>
      </c>
      <c r="G5">
        <v>24</v>
      </c>
      <c r="H5" s="35">
        <f t="shared" si="0"/>
        <v>0.91666666666666663</v>
      </c>
      <c r="I5" t="str">
        <f>IF(tblOcupacao[[#This Row],[PERCENTUAL_OCUPACAO]]&gt;0.75,"ALTA",IF(AND(tblOcupacao[[#This Row],[PERCENTUAL_OCUPACAO]]&lt;0.74,tblOcupacao[[#This Row],[PERCENTUAL_OCUPACAO]]&gt;0.5),"MÉDIO","BAIXO"))</f>
        <v>ALTA</v>
      </c>
      <c r="J5" t="s">
        <v>102</v>
      </c>
    </row>
    <row r="6" spans="1:10" x14ac:dyDescent="0.35">
      <c r="A6" s="2">
        <v>46098</v>
      </c>
      <c r="B6">
        <f>_xlfn.XLOOKUP(tblOcupacao[[#This Row],[AMBIENTE]],tblAmbientes[NOME_AMBIENTE],tblAmbientes[ID],"")</f>
        <v>4</v>
      </c>
      <c r="C6" t="s">
        <v>106</v>
      </c>
      <c r="D6">
        <f>_xlfn.XLOOKUP(tblOcupacao[[#This Row],[TURNO]],tblTurnos[TURNO],tblTurnos[ID_TURNO],"")</f>
        <v>1</v>
      </c>
      <c r="E6" t="s">
        <v>7</v>
      </c>
      <c r="F6">
        <v>21</v>
      </c>
      <c r="G6">
        <v>24</v>
      </c>
      <c r="H6" s="35">
        <f t="shared" si="0"/>
        <v>0.875</v>
      </c>
      <c r="I6" t="str">
        <f>IF(tblOcupacao[[#This Row],[PERCENTUAL_OCUPACAO]]&gt;0.75,"ALTA",IF(AND(tblOcupacao[[#This Row],[PERCENTUAL_OCUPACAO]]&lt;0.74,tblOcupacao[[#This Row],[PERCENTUAL_OCUPACAO]]&gt;0.5),"MÉDIO","BAIXO"))</f>
        <v>ALTA</v>
      </c>
      <c r="J6" t="s">
        <v>102</v>
      </c>
    </row>
    <row r="7" spans="1:10" x14ac:dyDescent="0.35">
      <c r="A7" s="2">
        <v>46099</v>
      </c>
      <c r="B7">
        <f>_xlfn.XLOOKUP(tblOcupacao[[#This Row],[AMBIENTE]],tblAmbientes[NOME_AMBIENTE],tblAmbientes[ID],"")</f>
        <v>4</v>
      </c>
      <c r="C7" t="s">
        <v>106</v>
      </c>
      <c r="D7">
        <f>_xlfn.XLOOKUP(tblOcupacao[[#This Row],[TURNO]],tblTurnos[TURNO],tblTurnos[ID_TURNO],"")</f>
        <v>1</v>
      </c>
      <c r="E7" t="s">
        <v>7</v>
      </c>
      <c r="F7">
        <v>21</v>
      </c>
      <c r="G7">
        <v>24</v>
      </c>
      <c r="H7" s="35">
        <f t="shared" si="0"/>
        <v>0.875</v>
      </c>
      <c r="I7" t="str">
        <f>IF(tblOcupacao[[#This Row],[PERCENTUAL_OCUPACAO]]&gt;0.75,"ALTA",IF(AND(tblOcupacao[[#This Row],[PERCENTUAL_OCUPACAO]]&lt;0.74,tblOcupacao[[#This Row],[PERCENTUAL_OCUPACAO]]&gt;0.5),"MÉDIO","BAIXO"))</f>
        <v>ALTA</v>
      </c>
      <c r="J7" t="s">
        <v>102</v>
      </c>
    </row>
    <row r="8" spans="1:10" x14ac:dyDescent="0.35">
      <c r="A8" s="2">
        <v>46100</v>
      </c>
      <c r="B8">
        <f>_xlfn.XLOOKUP(tblOcupacao[[#This Row],[AMBIENTE]],tblAmbientes[NOME_AMBIENTE],tblAmbientes[ID],"")</f>
        <v>4</v>
      </c>
      <c r="C8" t="s">
        <v>106</v>
      </c>
      <c r="D8">
        <f>_xlfn.XLOOKUP(tblOcupacao[[#This Row],[TURNO]],tblTurnos[TURNO],tblTurnos[ID_TURNO],"")</f>
        <v>1</v>
      </c>
      <c r="E8" t="s">
        <v>7</v>
      </c>
      <c r="F8">
        <v>21</v>
      </c>
      <c r="G8">
        <v>24</v>
      </c>
      <c r="H8" s="35">
        <f t="shared" si="0"/>
        <v>0.875</v>
      </c>
      <c r="I8" t="str">
        <f>IF(tblOcupacao[[#This Row],[PERCENTUAL_OCUPACAO]]&gt;0.75,"ALTA",IF(AND(tblOcupacao[[#This Row],[PERCENTUAL_OCUPACAO]]&lt;0.74,tblOcupacao[[#This Row],[PERCENTUAL_OCUPACAO]]&gt;0.5),"MÉDIO","BAIXO"))</f>
        <v>ALTA</v>
      </c>
      <c r="J8" t="s">
        <v>102</v>
      </c>
    </row>
    <row r="9" spans="1:10" x14ac:dyDescent="0.35">
      <c r="A9" s="2">
        <v>46104</v>
      </c>
      <c r="B9">
        <f>_xlfn.XLOOKUP(tblOcupacao[[#This Row],[AMBIENTE]],tblAmbientes[NOME_AMBIENTE],tblAmbientes[ID],"")</f>
        <v>4</v>
      </c>
      <c r="C9" t="s">
        <v>106</v>
      </c>
      <c r="D9">
        <f>_xlfn.XLOOKUP(tblOcupacao[[#This Row],[TURNO]],tblTurnos[TURNO],tblTurnos[ID_TURNO],"")</f>
        <v>1</v>
      </c>
      <c r="E9" t="s">
        <v>7</v>
      </c>
      <c r="F9">
        <v>22</v>
      </c>
      <c r="G9">
        <v>24</v>
      </c>
      <c r="H9" s="35">
        <f t="shared" si="0"/>
        <v>0.91666666666666663</v>
      </c>
      <c r="I9" t="str">
        <f>IF(tblOcupacao[[#This Row],[PERCENTUAL_OCUPACAO]]&gt;0.75,"ALTA",IF(AND(tblOcupacao[[#This Row],[PERCENTUAL_OCUPACAO]]&lt;0.74,tblOcupacao[[#This Row],[PERCENTUAL_OCUPACAO]]&gt;0.5),"MÉDIO","BAIXO"))</f>
        <v>ALTA</v>
      </c>
      <c r="J9" t="s">
        <v>102</v>
      </c>
    </row>
    <row r="10" spans="1:10" x14ac:dyDescent="0.35">
      <c r="A10" s="2">
        <v>46105</v>
      </c>
      <c r="B10">
        <f>_xlfn.XLOOKUP(tblOcupacao[[#This Row],[AMBIENTE]],tblAmbientes[NOME_AMBIENTE],tblAmbientes[ID],"")</f>
        <v>4</v>
      </c>
      <c r="C10" t="s">
        <v>106</v>
      </c>
      <c r="D10">
        <f>_xlfn.XLOOKUP(tblOcupacao[[#This Row],[TURNO]],tblTurnos[TURNO],tblTurnos[ID_TURNO],"")</f>
        <v>1</v>
      </c>
      <c r="E10" t="s">
        <v>7</v>
      </c>
      <c r="F10">
        <v>20</v>
      </c>
      <c r="G10">
        <v>24</v>
      </c>
      <c r="H10" s="35">
        <f t="shared" si="0"/>
        <v>0.83333333333333337</v>
      </c>
      <c r="I10" t="str">
        <f>IF(tblOcupacao[[#This Row],[PERCENTUAL_OCUPACAO]]&gt;0.75,"ALTA",IF(AND(tblOcupacao[[#This Row],[PERCENTUAL_OCUPACAO]]&lt;0.74,tblOcupacao[[#This Row],[PERCENTUAL_OCUPACAO]]&gt;0.5),"MÉDIO","BAIXO"))</f>
        <v>ALTA</v>
      </c>
      <c r="J10" t="s">
        <v>102</v>
      </c>
    </row>
    <row r="11" spans="1:10" x14ac:dyDescent="0.35">
      <c r="A11" s="2">
        <v>46106</v>
      </c>
      <c r="B11">
        <f>_xlfn.XLOOKUP(tblOcupacao[[#This Row],[AMBIENTE]],tblAmbientes[NOME_AMBIENTE],tblAmbientes[ID],"")</f>
        <v>4</v>
      </c>
      <c r="C11" t="s">
        <v>106</v>
      </c>
      <c r="D11">
        <f>_xlfn.XLOOKUP(tblOcupacao[[#This Row],[TURNO]],tblTurnos[TURNO],tblTurnos[ID_TURNO],"")</f>
        <v>1</v>
      </c>
      <c r="E11" t="s">
        <v>7</v>
      </c>
      <c r="F11">
        <v>22</v>
      </c>
      <c r="G11">
        <v>24</v>
      </c>
      <c r="H11" s="35">
        <f t="shared" si="0"/>
        <v>0.91666666666666663</v>
      </c>
      <c r="I11" t="str">
        <f>IF(tblOcupacao[[#This Row],[PERCENTUAL_OCUPACAO]]&gt;0.75,"ALTA",IF(AND(tblOcupacao[[#This Row],[PERCENTUAL_OCUPACAO]]&lt;0.74,tblOcupacao[[#This Row],[PERCENTUAL_OCUPACAO]]&gt;0.5),"MÉDIO","BAIXO"))</f>
        <v>ALTA</v>
      </c>
      <c r="J11" t="s">
        <v>102</v>
      </c>
    </row>
    <row r="12" spans="1:10" x14ac:dyDescent="0.35">
      <c r="A12" s="2">
        <v>46107</v>
      </c>
      <c r="B12">
        <f>_xlfn.XLOOKUP(tblOcupacao[[#This Row],[AMBIENTE]],tblAmbientes[NOME_AMBIENTE],tblAmbientes[ID],"")</f>
        <v>4</v>
      </c>
      <c r="C12" t="s">
        <v>106</v>
      </c>
      <c r="D12">
        <f>_xlfn.XLOOKUP(tblOcupacao[[#This Row],[TURNO]],tblTurnos[TURNO],tblTurnos[ID_TURNO],"")</f>
        <v>1</v>
      </c>
      <c r="E12" t="s">
        <v>7</v>
      </c>
      <c r="F12">
        <v>22</v>
      </c>
      <c r="G12">
        <v>24</v>
      </c>
      <c r="H12" s="35">
        <f t="shared" si="0"/>
        <v>0.91666666666666663</v>
      </c>
      <c r="I12" t="str">
        <f>IF(tblOcupacao[[#This Row],[PERCENTUAL_OCUPACAO]]&gt;0.75,"ALTA",IF(AND(tblOcupacao[[#This Row],[PERCENTUAL_OCUPACAO]]&lt;0.74,tblOcupacao[[#This Row],[PERCENTUAL_OCUPACAO]]&gt;0.5),"MÉDIO","BAIXO"))</f>
        <v>ALTA</v>
      </c>
      <c r="J12" t="s">
        <v>102</v>
      </c>
    </row>
    <row r="13" spans="1:10" x14ac:dyDescent="0.35">
      <c r="A13" s="2">
        <v>46097</v>
      </c>
      <c r="B13">
        <f>_xlfn.XLOOKUP(tblOcupacao[[#This Row],[AMBIENTE]],tblAmbientes[NOME_AMBIENTE],tblAmbientes[ID],"")</f>
        <v>8</v>
      </c>
      <c r="C13" t="s">
        <v>110</v>
      </c>
      <c r="D13">
        <f>_xlfn.XLOOKUP(tblOcupacao[[#This Row],[TURNO]],tblTurnos[TURNO],tblTurnos[ID_TURNO],"")</f>
        <v>1</v>
      </c>
      <c r="E13" t="s">
        <v>7</v>
      </c>
      <c r="F13">
        <v>15</v>
      </c>
      <c r="G13">
        <v>24</v>
      </c>
      <c r="H13" s="35">
        <f t="shared" si="0"/>
        <v>0.625</v>
      </c>
      <c r="I13" t="str">
        <f>IF(tblOcupacao[[#This Row],[PERCENTUAL_OCUPACAO]]&gt;0.75,"ALTA",IF(AND(tblOcupacao[[#This Row],[PERCENTUAL_OCUPACAO]]&lt;0.74,tblOcupacao[[#This Row],[PERCENTUAL_OCUPACAO]]&gt;0.5),"MÉDIO","BAIXO"))</f>
        <v>MÉDIO</v>
      </c>
      <c r="J13" t="s">
        <v>102</v>
      </c>
    </row>
    <row r="14" spans="1:10" x14ac:dyDescent="0.35">
      <c r="A14" s="2">
        <v>46098</v>
      </c>
      <c r="B14">
        <f>_xlfn.XLOOKUP(tblOcupacao[[#This Row],[AMBIENTE]],tblAmbientes[NOME_AMBIENTE],tblAmbientes[ID],"")</f>
        <v>8</v>
      </c>
      <c r="C14" t="s">
        <v>110</v>
      </c>
      <c r="D14">
        <f>_xlfn.XLOOKUP(tblOcupacao[[#This Row],[TURNO]],tblTurnos[TURNO],tblTurnos[ID_TURNO],"")</f>
        <v>1</v>
      </c>
      <c r="E14" t="s">
        <v>7</v>
      </c>
      <c r="F14">
        <v>15</v>
      </c>
      <c r="G14">
        <v>24</v>
      </c>
      <c r="H14" s="35">
        <f t="shared" si="0"/>
        <v>0.625</v>
      </c>
      <c r="I14" t="str">
        <f>IF(tblOcupacao[[#This Row],[PERCENTUAL_OCUPACAO]]&gt;0.75,"ALTA",IF(AND(tblOcupacao[[#This Row],[PERCENTUAL_OCUPACAO]]&lt;0.74,tblOcupacao[[#This Row],[PERCENTUAL_OCUPACAO]]&gt;0.5),"MÉDIO","BAIXO"))</f>
        <v>MÉDIO</v>
      </c>
      <c r="J14" t="s">
        <v>102</v>
      </c>
    </row>
    <row r="15" spans="1:10" x14ac:dyDescent="0.35">
      <c r="A15" s="2">
        <v>46099</v>
      </c>
      <c r="B15">
        <f>_xlfn.XLOOKUP(tblOcupacao[[#This Row],[AMBIENTE]],tblAmbientes[NOME_AMBIENTE],tblAmbientes[ID],"")</f>
        <v>8</v>
      </c>
      <c r="C15" t="s">
        <v>110</v>
      </c>
      <c r="D15">
        <f>_xlfn.XLOOKUP(tblOcupacao[[#This Row],[TURNO]],tblTurnos[TURNO],tblTurnos[ID_TURNO],"")</f>
        <v>1</v>
      </c>
      <c r="E15" t="s">
        <v>7</v>
      </c>
      <c r="F15">
        <v>15</v>
      </c>
      <c r="G15">
        <v>24</v>
      </c>
      <c r="H15" s="35">
        <f t="shared" si="0"/>
        <v>0.625</v>
      </c>
      <c r="I15" t="str">
        <f>IF(tblOcupacao[[#This Row],[PERCENTUAL_OCUPACAO]]&gt;0.75,"ALTA",IF(AND(tblOcupacao[[#This Row],[PERCENTUAL_OCUPACAO]]&lt;0.74,tblOcupacao[[#This Row],[PERCENTUAL_OCUPACAO]]&gt;0.5),"MÉDIO","BAIXO"))</f>
        <v>MÉDIO</v>
      </c>
      <c r="J15" t="s">
        <v>102</v>
      </c>
    </row>
    <row r="16" spans="1:10" x14ac:dyDescent="0.35">
      <c r="A16" s="2">
        <v>46100</v>
      </c>
      <c r="B16">
        <f>_xlfn.XLOOKUP(tblOcupacao[[#This Row],[AMBIENTE]],tblAmbientes[NOME_AMBIENTE],tblAmbientes[ID],"")</f>
        <v>8</v>
      </c>
      <c r="C16" t="s">
        <v>110</v>
      </c>
      <c r="D16">
        <f>_xlfn.XLOOKUP(tblOcupacao[[#This Row],[TURNO]],tblTurnos[TURNO],tblTurnos[ID_TURNO],"")</f>
        <v>1</v>
      </c>
      <c r="E16" t="s">
        <v>7</v>
      </c>
      <c r="F16">
        <v>15</v>
      </c>
      <c r="G16">
        <v>24</v>
      </c>
      <c r="H16" s="35">
        <f t="shared" si="0"/>
        <v>0.625</v>
      </c>
      <c r="I16" t="str">
        <f>IF(tblOcupacao[[#This Row],[PERCENTUAL_OCUPACAO]]&gt;0.75,"ALTA",IF(AND(tblOcupacao[[#This Row],[PERCENTUAL_OCUPACAO]]&lt;0.74,tblOcupacao[[#This Row],[PERCENTUAL_OCUPACAO]]&gt;0.5),"MÉDIO","BAIXO"))</f>
        <v>MÉDIO</v>
      </c>
      <c r="J16" t="s">
        <v>102</v>
      </c>
    </row>
    <row r="17" spans="1:10" x14ac:dyDescent="0.35">
      <c r="A17" s="2">
        <v>46101</v>
      </c>
      <c r="B17">
        <f>_xlfn.XLOOKUP(tblOcupacao[[#This Row],[AMBIENTE]],tblAmbientes[NOME_AMBIENTE],tblAmbientes[ID],"")</f>
        <v>8</v>
      </c>
      <c r="C17" t="s">
        <v>110</v>
      </c>
      <c r="D17">
        <f>_xlfn.XLOOKUP(tblOcupacao[[#This Row],[TURNO]],tblTurnos[TURNO],tblTurnos[ID_TURNO],"")</f>
        <v>1</v>
      </c>
      <c r="E17" t="s">
        <v>7</v>
      </c>
      <c r="F17">
        <v>15</v>
      </c>
      <c r="G17">
        <v>24</v>
      </c>
      <c r="H17" s="35">
        <f t="shared" si="0"/>
        <v>0.625</v>
      </c>
      <c r="I17" t="str">
        <f>IF(tblOcupacao[[#This Row],[PERCENTUAL_OCUPACAO]]&gt;0.75,"ALTA",IF(AND(tblOcupacao[[#This Row],[PERCENTUAL_OCUPACAO]]&lt;0.74,tblOcupacao[[#This Row],[PERCENTUAL_OCUPACAO]]&gt;0.5),"MÉDIO","BAIXO"))</f>
        <v>MÉDIO</v>
      </c>
      <c r="J17" t="s">
        <v>102</v>
      </c>
    </row>
    <row r="18" spans="1:10" x14ac:dyDescent="0.35">
      <c r="A18" s="2">
        <v>46104</v>
      </c>
      <c r="B18">
        <f>_xlfn.XLOOKUP(tblOcupacao[[#This Row],[AMBIENTE]],tblAmbientes[NOME_AMBIENTE],tblAmbientes[ID],"")</f>
        <v>8</v>
      </c>
      <c r="C18" t="s">
        <v>110</v>
      </c>
      <c r="D18">
        <f>_xlfn.XLOOKUP(tblOcupacao[[#This Row],[TURNO]],tblTurnos[TURNO],tblTurnos[ID_TURNO],"")</f>
        <v>1</v>
      </c>
      <c r="E18" t="s">
        <v>7</v>
      </c>
      <c r="F18">
        <v>15</v>
      </c>
      <c r="G18">
        <v>24</v>
      </c>
      <c r="H18" s="35">
        <f t="shared" si="0"/>
        <v>0.625</v>
      </c>
      <c r="I18" t="str">
        <f>IF(tblOcupacao[[#This Row],[PERCENTUAL_OCUPACAO]]&gt;0.75,"ALTA",IF(AND(tblOcupacao[[#This Row],[PERCENTUAL_OCUPACAO]]&lt;0.74,tblOcupacao[[#This Row],[PERCENTUAL_OCUPACAO]]&gt;0.5),"MÉDIO","BAIXO"))</f>
        <v>MÉDIO</v>
      </c>
      <c r="J18" t="s">
        <v>197</v>
      </c>
    </row>
    <row r="19" spans="1:10" x14ac:dyDescent="0.35">
      <c r="A19" s="2">
        <v>46105</v>
      </c>
      <c r="B19">
        <f>_xlfn.XLOOKUP(tblOcupacao[[#This Row],[AMBIENTE]],tblAmbientes[NOME_AMBIENTE],tblAmbientes[ID],"")</f>
        <v>8</v>
      </c>
      <c r="C19" t="s">
        <v>110</v>
      </c>
      <c r="D19">
        <f>_xlfn.XLOOKUP(tblOcupacao[[#This Row],[TURNO]],tblTurnos[TURNO],tblTurnos[ID_TURNO],"")</f>
        <v>1</v>
      </c>
      <c r="E19" t="s">
        <v>7</v>
      </c>
      <c r="F19">
        <v>15</v>
      </c>
      <c r="G19">
        <v>24</v>
      </c>
      <c r="H19" s="35">
        <f t="shared" ref="H19:H21" si="1">$F19/$G19</f>
        <v>0.625</v>
      </c>
      <c r="I19" t="str">
        <f>IF(tblOcupacao[[#This Row],[PERCENTUAL_OCUPACAO]]&gt;0.75,"ALTA",IF(AND(tblOcupacao[[#This Row],[PERCENTUAL_OCUPACAO]]&lt;0.74,tblOcupacao[[#This Row],[PERCENTUAL_OCUPACAO]]&gt;0.5),"MÉDIO","BAIXO"))</f>
        <v>MÉDIO</v>
      </c>
      <c r="J19" t="s">
        <v>197</v>
      </c>
    </row>
    <row r="20" spans="1:10" x14ac:dyDescent="0.35">
      <c r="A20" s="2">
        <v>46106</v>
      </c>
      <c r="B20">
        <f>_xlfn.XLOOKUP(tblOcupacao[[#This Row],[AMBIENTE]],tblAmbientes[NOME_AMBIENTE],tblAmbientes[ID],"")</f>
        <v>8</v>
      </c>
      <c r="C20" t="s">
        <v>110</v>
      </c>
      <c r="D20">
        <f>_xlfn.XLOOKUP(tblOcupacao[[#This Row],[TURNO]],tblTurnos[TURNO],tblTurnos[ID_TURNO],"")</f>
        <v>1</v>
      </c>
      <c r="E20" t="s">
        <v>7</v>
      </c>
      <c r="F20">
        <v>15</v>
      </c>
      <c r="G20">
        <v>24</v>
      </c>
      <c r="H20" s="35">
        <f t="shared" si="1"/>
        <v>0.625</v>
      </c>
      <c r="I20" t="str">
        <f>IF(tblOcupacao[[#This Row],[PERCENTUAL_OCUPACAO]]&gt;0.75,"ALTA",IF(AND(tblOcupacao[[#This Row],[PERCENTUAL_OCUPACAO]]&lt;0.74,tblOcupacao[[#This Row],[PERCENTUAL_OCUPACAO]]&gt;0.5),"MÉDIO","BAIXO"))</f>
        <v>MÉDIO</v>
      </c>
      <c r="J20" t="s">
        <v>197</v>
      </c>
    </row>
    <row r="21" spans="1:10" x14ac:dyDescent="0.35">
      <c r="A21" s="2">
        <v>46107</v>
      </c>
      <c r="B21">
        <f>_xlfn.XLOOKUP(tblOcupacao[[#This Row],[AMBIENTE]],tblAmbientes[NOME_AMBIENTE],tblAmbientes[ID],"")</f>
        <v>8</v>
      </c>
      <c r="C21" t="s">
        <v>110</v>
      </c>
      <c r="D21">
        <f>_xlfn.XLOOKUP(tblOcupacao[[#This Row],[TURNO]],tblTurnos[TURNO],tblTurnos[ID_TURNO],"")</f>
        <v>1</v>
      </c>
      <c r="E21" t="s">
        <v>7</v>
      </c>
      <c r="F21">
        <v>15</v>
      </c>
      <c r="G21">
        <v>24</v>
      </c>
      <c r="H21" s="35">
        <f t="shared" si="1"/>
        <v>0.625</v>
      </c>
      <c r="I21" t="str">
        <f>IF(tblOcupacao[[#This Row],[PERCENTUAL_OCUPACAO]]&gt;0.75,"ALTA",IF(AND(tblOcupacao[[#This Row],[PERCENTUAL_OCUPACAO]]&lt;0.74,tblOcupacao[[#This Row],[PERCENTUAL_OCUPACAO]]&gt;0.5),"MÉDIO","BAIXO"))</f>
        <v>MÉDIO</v>
      </c>
      <c r="J21" t="s">
        <v>197</v>
      </c>
    </row>
    <row r="22" spans="1:10" x14ac:dyDescent="0.35">
      <c r="A22" s="2">
        <v>46111</v>
      </c>
      <c r="B22">
        <f>_xlfn.XLOOKUP(tblOcupacao[[#This Row],[AMBIENTE]],tblAmbientes[NOME_AMBIENTE],tblAmbientes[ID],"")</f>
        <v>4</v>
      </c>
      <c r="C22" t="s">
        <v>106</v>
      </c>
      <c r="D22">
        <f>_xlfn.XLOOKUP(tblOcupacao[[#This Row],[TURNO]],tblTurnos[TURNO],tblTurnos[ID_TURNO],"")</f>
        <v>1</v>
      </c>
      <c r="E22" t="s">
        <v>7</v>
      </c>
      <c r="F22">
        <v>21</v>
      </c>
      <c r="G22">
        <v>24</v>
      </c>
      <c r="H22" s="35">
        <f t="shared" ref="H22:H85" si="2">$F22/$G22</f>
        <v>0.875</v>
      </c>
      <c r="I22" t="str">
        <f>IF(tblOcupacao[[#This Row],[PERCENTUAL_OCUPACAO]]&gt;0.75,"ALTA",IF(AND(tblOcupacao[[#This Row],[PERCENTUAL_OCUPACAO]]&lt;0.74,tblOcupacao[[#This Row],[PERCENTUAL_OCUPACAO]]&gt;0.5),"MÉDIO","BAIXO"))</f>
        <v>ALTA</v>
      </c>
      <c r="J22" t="s">
        <v>102</v>
      </c>
    </row>
    <row r="23" spans="1:10" x14ac:dyDescent="0.35">
      <c r="A23" s="2"/>
      <c r="B23" t="str">
        <f>_xlfn.XLOOKUP(tblOcupacao[[#This Row],[AMBIENTE]],tblAmbientes[NOME_AMBIENTE],tblAmbientes[ID],"")</f>
        <v/>
      </c>
      <c r="D23" t="str">
        <f>_xlfn.XLOOKUP(tblOcupacao[[#This Row],[TURNO]],tblTurnos[TURNO],tblTurnos[ID_TURNO],"")</f>
        <v/>
      </c>
      <c r="H23" s="35" t="e">
        <f t="shared" si="2"/>
        <v>#DIV/0!</v>
      </c>
      <c r="I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" spans="1:10" x14ac:dyDescent="0.35">
      <c r="A24" s="2"/>
      <c r="B24" t="str">
        <f>_xlfn.XLOOKUP(tblOcupacao[[#This Row],[AMBIENTE]],tblAmbientes[NOME_AMBIENTE],tblAmbientes[ID],"")</f>
        <v/>
      </c>
      <c r="D24" t="str">
        <f>_xlfn.XLOOKUP(tblOcupacao[[#This Row],[TURNO]],tblTurnos[TURNO],tblTurnos[ID_TURNO],"")</f>
        <v/>
      </c>
      <c r="H24" s="35" t="e">
        <f t="shared" si="2"/>
        <v>#DIV/0!</v>
      </c>
      <c r="I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" spans="1:10" x14ac:dyDescent="0.35">
      <c r="A25" s="2"/>
      <c r="B25" t="str">
        <f>_xlfn.XLOOKUP(tblOcupacao[[#This Row],[AMBIENTE]],tblAmbientes[NOME_AMBIENTE],tblAmbientes[ID],"")</f>
        <v/>
      </c>
      <c r="D25" t="str">
        <f>_xlfn.XLOOKUP(tblOcupacao[[#This Row],[TURNO]],tblTurnos[TURNO],tblTurnos[ID_TURNO],"")</f>
        <v/>
      </c>
      <c r="H25" s="35" t="e">
        <f t="shared" si="2"/>
        <v>#DIV/0!</v>
      </c>
      <c r="I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" spans="1:10" x14ac:dyDescent="0.35">
      <c r="A26" s="2"/>
      <c r="B26" t="str">
        <f>_xlfn.XLOOKUP(tblOcupacao[[#This Row],[AMBIENTE]],tblAmbientes[NOME_AMBIENTE],tblAmbientes[ID],"")</f>
        <v/>
      </c>
      <c r="D26" t="str">
        <f>_xlfn.XLOOKUP(tblOcupacao[[#This Row],[TURNO]],tblTurnos[TURNO],tblTurnos[ID_TURNO],"")</f>
        <v/>
      </c>
      <c r="H26" s="35" t="e">
        <f t="shared" si="2"/>
        <v>#DIV/0!</v>
      </c>
      <c r="I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" spans="1:10" x14ac:dyDescent="0.35">
      <c r="A27" s="2"/>
      <c r="B27" t="str">
        <f>_xlfn.XLOOKUP(tblOcupacao[[#This Row],[AMBIENTE]],tblAmbientes[NOME_AMBIENTE],tblAmbientes[ID],"")</f>
        <v/>
      </c>
      <c r="D27" t="str">
        <f>_xlfn.XLOOKUP(tblOcupacao[[#This Row],[TURNO]],tblTurnos[TURNO],tblTurnos[ID_TURNO],"")</f>
        <v/>
      </c>
      <c r="H27" s="35" t="e">
        <f t="shared" si="2"/>
        <v>#DIV/0!</v>
      </c>
      <c r="I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" spans="1:10" x14ac:dyDescent="0.35">
      <c r="A28" s="2"/>
      <c r="B28" t="str">
        <f>_xlfn.XLOOKUP(tblOcupacao[[#This Row],[AMBIENTE]],tblAmbientes[NOME_AMBIENTE],tblAmbientes[ID],"")</f>
        <v/>
      </c>
      <c r="D28" t="str">
        <f>_xlfn.XLOOKUP(tblOcupacao[[#This Row],[TURNO]],tblTurnos[TURNO],tblTurnos[ID_TURNO],"")</f>
        <v/>
      </c>
      <c r="H28" s="35" t="e">
        <f t="shared" si="2"/>
        <v>#DIV/0!</v>
      </c>
      <c r="I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" spans="1:10" x14ac:dyDescent="0.35">
      <c r="A29" s="2"/>
      <c r="B29" t="str">
        <f>_xlfn.XLOOKUP(tblOcupacao[[#This Row],[AMBIENTE]],tblAmbientes[NOME_AMBIENTE],tblAmbientes[ID],"")</f>
        <v/>
      </c>
      <c r="D29" t="str">
        <f>_xlfn.XLOOKUP(tblOcupacao[[#This Row],[TURNO]],tblTurnos[TURNO],tblTurnos[ID_TURNO],"")</f>
        <v/>
      </c>
      <c r="H29" s="35" t="e">
        <f t="shared" si="2"/>
        <v>#DIV/0!</v>
      </c>
      <c r="I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" spans="1:10" x14ac:dyDescent="0.35">
      <c r="A30" s="2"/>
      <c r="B30" t="str">
        <f>_xlfn.XLOOKUP(tblOcupacao[[#This Row],[AMBIENTE]],tblAmbientes[NOME_AMBIENTE],tblAmbientes[ID],"")</f>
        <v/>
      </c>
      <c r="D30" t="str">
        <f>_xlfn.XLOOKUP(tblOcupacao[[#This Row],[TURNO]],tblTurnos[TURNO],tblTurnos[ID_TURNO],"")</f>
        <v/>
      </c>
      <c r="H30" s="35" t="e">
        <f t="shared" si="2"/>
        <v>#DIV/0!</v>
      </c>
      <c r="I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" spans="1:10" x14ac:dyDescent="0.35">
      <c r="A31" s="2"/>
      <c r="B31" t="str">
        <f>_xlfn.XLOOKUP(tblOcupacao[[#This Row],[AMBIENTE]],tblAmbientes[NOME_AMBIENTE],tblAmbientes[ID],"")</f>
        <v/>
      </c>
      <c r="D31" t="str">
        <f>_xlfn.XLOOKUP(tblOcupacao[[#This Row],[TURNO]],tblTurnos[TURNO],tblTurnos[ID_TURNO],"")</f>
        <v/>
      </c>
      <c r="H31" s="35" t="e">
        <f t="shared" si="2"/>
        <v>#DIV/0!</v>
      </c>
      <c r="I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" spans="1:10" x14ac:dyDescent="0.35">
      <c r="A32" s="2"/>
      <c r="B32" t="str">
        <f>_xlfn.XLOOKUP(tblOcupacao[[#This Row],[AMBIENTE]],tblAmbientes[NOME_AMBIENTE],tblAmbientes[ID],"")</f>
        <v/>
      </c>
      <c r="D32" t="str">
        <f>_xlfn.XLOOKUP(tblOcupacao[[#This Row],[TURNO]],tblTurnos[TURNO],tblTurnos[ID_TURNO],"")</f>
        <v/>
      </c>
      <c r="H32" s="35" t="e">
        <f t="shared" si="2"/>
        <v>#DIV/0!</v>
      </c>
      <c r="I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" spans="1:9" x14ac:dyDescent="0.35">
      <c r="A33" s="2"/>
      <c r="B33" t="str">
        <f>_xlfn.XLOOKUP(tblOcupacao[[#This Row],[AMBIENTE]],tblAmbientes[NOME_AMBIENTE],tblAmbientes[ID],"")</f>
        <v/>
      </c>
      <c r="D33" t="str">
        <f>_xlfn.XLOOKUP(tblOcupacao[[#This Row],[TURNO]],tblTurnos[TURNO],tblTurnos[ID_TURNO],"")</f>
        <v/>
      </c>
      <c r="H33" s="35" t="e">
        <f t="shared" si="2"/>
        <v>#DIV/0!</v>
      </c>
      <c r="I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" spans="1:9" x14ac:dyDescent="0.35">
      <c r="A34" s="2"/>
      <c r="B34" t="str">
        <f>_xlfn.XLOOKUP(tblOcupacao[[#This Row],[AMBIENTE]],tblAmbientes[NOME_AMBIENTE],tblAmbientes[ID],"")</f>
        <v/>
      </c>
      <c r="D34" t="str">
        <f>_xlfn.XLOOKUP(tblOcupacao[[#This Row],[TURNO]],tblTurnos[TURNO],tblTurnos[ID_TURNO],"")</f>
        <v/>
      </c>
      <c r="H34" s="35" t="e">
        <f t="shared" si="2"/>
        <v>#DIV/0!</v>
      </c>
      <c r="I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" spans="1:9" x14ac:dyDescent="0.35">
      <c r="A35" s="2"/>
      <c r="B35" t="str">
        <f>_xlfn.XLOOKUP(tblOcupacao[[#This Row],[AMBIENTE]],tblAmbientes[NOME_AMBIENTE],tblAmbientes[ID],"")</f>
        <v/>
      </c>
      <c r="D35" t="str">
        <f>_xlfn.XLOOKUP(tblOcupacao[[#This Row],[TURNO]],tblTurnos[TURNO],tblTurnos[ID_TURNO],"")</f>
        <v/>
      </c>
      <c r="H35" s="35" t="e">
        <f t="shared" si="2"/>
        <v>#DIV/0!</v>
      </c>
      <c r="I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" spans="1:9" x14ac:dyDescent="0.35">
      <c r="A36" s="2"/>
      <c r="B36" t="str">
        <f>_xlfn.XLOOKUP(tblOcupacao[[#This Row],[AMBIENTE]],tblAmbientes[NOME_AMBIENTE],tblAmbientes[ID],"")</f>
        <v/>
      </c>
      <c r="D36" t="str">
        <f>_xlfn.XLOOKUP(tblOcupacao[[#This Row],[TURNO]],tblTurnos[TURNO],tblTurnos[ID_TURNO],"")</f>
        <v/>
      </c>
      <c r="H36" s="35" t="e">
        <f t="shared" si="2"/>
        <v>#DIV/0!</v>
      </c>
      <c r="I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" spans="1:9" x14ac:dyDescent="0.35">
      <c r="A37" s="2"/>
      <c r="B37" t="str">
        <f>_xlfn.XLOOKUP(tblOcupacao[[#This Row],[AMBIENTE]],tblAmbientes[NOME_AMBIENTE],tblAmbientes[ID],"")</f>
        <v/>
      </c>
      <c r="D37" t="str">
        <f>_xlfn.XLOOKUP(tblOcupacao[[#This Row],[TURNO]],tblTurnos[TURNO],tblTurnos[ID_TURNO],"")</f>
        <v/>
      </c>
      <c r="H37" s="35" t="e">
        <f t="shared" si="2"/>
        <v>#DIV/0!</v>
      </c>
      <c r="I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" spans="1:9" x14ac:dyDescent="0.35">
      <c r="A38" s="2"/>
      <c r="B38" t="str">
        <f>_xlfn.XLOOKUP(tblOcupacao[[#This Row],[AMBIENTE]],tblAmbientes[NOME_AMBIENTE],tblAmbientes[ID],"")</f>
        <v/>
      </c>
      <c r="D38" t="str">
        <f>_xlfn.XLOOKUP(tblOcupacao[[#This Row],[TURNO]],tblTurnos[TURNO],tblTurnos[ID_TURNO],"")</f>
        <v/>
      </c>
      <c r="H38" s="35" t="e">
        <f t="shared" si="2"/>
        <v>#DIV/0!</v>
      </c>
      <c r="I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" spans="1:9" x14ac:dyDescent="0.35">
      <c r="A39" s="2"/>
      <c r="B39" t="str">
        <f>_xlfn.XLOOKUP(tblOcupacao[[#This Row],[AMBIENTE]],tblAmbientes[NOME_AMBIENTE],tblAmbientes[ID],"")</f>
        <v/>
      </c>
      <c r="D39" t="str">
        <f>_xlfn.XLOOKUP(tblOcupacao[[#This Row],[TURNO]],tblTurnos[TURNO],tblTurnos[ID_TURNO],"")</f>
        <v/>
      </c>
      <c r="H39" s="35" t="e">
        <f t="shared" si="2"/>
        <v>#DIV/0!</v>
      </c>
      <c r="I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" spans="1:9" x14ac:dyDescent="0.35">
      <c r="A40" s="2"/>
      <c r="B40" t="str">
        <f>_xlfn.XLOOKUP(tblOcupacao[[#This Row],[AMBIENTE]],tblAmbientes[NOME_AMBIENTE],tblAmbientes[ID],"")</f>
        <v/>
      </c>
      <c r="D40" t="str">
        <f>_xlfn.XLOOKUP(tblOcupacao[[#This Row],[TURNO]],tblTurnos[TURNO],tblTurnos[ID_TURNO],"")</f>
        <v/>
      </c>
      <c r="H40" s="35" t="e">
        <f t="shared" si="2"/>
        <v>#DIV/0!</v>
      </c>
      <c r="I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" spans="1:9" x14ac:dyDescent="0.35">
      <c r="A41" s="2"/>
      <c r="B41" t="str">
        <f>_xlfn.XLOOKUP(tblOcupacao[[#This Row],[AMBIENTE]],tblAmbientes[NOME_AMBIENTE],tblAmbientes[ID],"")</f>
        <v/>
      </c>
      <c r="D41" t="str">
        <f>_xlfn.XLOOKUP(tblOcupacao[[#This Row],[TURNO]],tblTurnos[TURNO],tblTurnos[ID_TURNO],"")</f>
        <v/>
      </c>
      <c r="H41" s="35" t="e">
        <f t="shared" si="2"/>
        <v>#DIV/0!</v>
      </c>
      <c r="I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" spans="1:9" x14ac:dyDescent="0.35">
      <c r="A42" s="2"/>
      <c r="B42" t="str">
        <f>_xlfn.XLOOKUP(tblOcupacao[[#This Row],[AMBIENTE]],tblAmbientes[NOME_AMBIENTE],tblAmbientes[ID],"")</f>
        <v/>
      </c>
      <c r="D42" t="str">
        <f>_xlfn.XLOOKUP(tblOcupacao[[#This Row],[TURNO]],tblTurnos[TURNO],tblTurnos[ID_TURNO],"")</f>
        <v/>
      </c>
      <c r="H42" s="35" t="e">
        <f t="shared" si="2"/>
        <v>#DIV/0!</v>
      </c>
      <c r="I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" spans="1:9" x14ac:dyDescent="0.35">
      <c r="A43" s="2"/>
      <c r="B43" t="str">
        <f>_xlfn.XLOOKUP(tblOcupacao[[#This Row],[AMBIENTE]],tblAmbientes[NOME_AMBIENTE],tblAmbientes[ID],"")</f>
        <v/>
      </c>
      <c r="D43" t="str">
        <f>_xlfn.XLOOKUP(tblOcupacao[[#This Row],[TURNO]],tblTurnos[TURNO],tblTurnos[ID_TURNO],"")</f>
        <v/>
      </c>
      <c r="H43" s="35" t="e">
        <f t="shared" si="2"/>
        <v>#DIV/0!</v>
      </c>
      <c r="I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4" spans="1:9" x14ac:dyDescent="0.35">
      <c r="A44" s="2"/>
      <c r="B44" t="str">
        <f>_xlfn.XLOOKUP(tblOcupacao[[#This Row],[AMBIENTE]],tblAmbientes[NOME_AMBIENTE],tblAmbientes[ID],"")</f>
        <v/>
      </c>
      <c r="D44" t="str">
        <f>_xlfn.XLOOKUP(tblOcupacao[[#This Row],[TURNO]],tblTurnos[TURNO],tblTurnos[ID_TURNO],"")</f>
        <v/>
      </c>
      <c r="H44" s="35" t="e">
        <f t="shared" si="2"/>
        <v>#DIV/0!</v>
      </c>
      <c r="I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5" spans="1:9" x14ac:dyDescent="0.35">
      <c r="A45" s="2"/>
      <c r="B45" t="str">
        <f>_xlfn.XLOOKUP(tblOcupacao[[#This Row],[AMBIENTE]],tblAmbientes[NOME_AMBIENTE],tblAmbientes[ID],"")</f>
        <v/>
      </c>
      <c r="D45" t="str">
        <f>_xlfn.XLOOKUP(tblOcupacao[[#This Row],[TURNO]],tblTurnos[TURNO],tblTurnos[ID_TURNO],"")</f>
        <v/>
      </c>
      <c r="H45" s="35" t="e">
        <f t="shared" si="2"/>
        <v>#DIV/0!</v>
      </c>
      <c r="I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6" spans="1:9" x14ac:dyDescent="0.35">
      <c r="A46" s="2"/>
      <c r="B46" t="str">
        <f>_xlfn.XLOOKUP(tblOcupacao[[#This Row],[AMBIENTE]],tblAmbientes[NOME_AMBIENTE],tblAmbientes[ID],"")</f>
        <v/>
      </c>
      <c r="D46" t="str">
        <f>_xlfn.XLOOKUP(tblOcupacao[[#This Row],[TURNO]],tblTurnos[TURNO],tblTurnos[ID_TURNO],"")</f>
        <v/>
      </c>
      <c r="H46" s="35" t="e">
        <f t="shared" si="2"/>
        <v>#DIV/0!</v>
      </c>
      <c r="I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7" spans="1:9" x14ac:dyDescent="0.35">
      <c r="A47" s="2"/>
      <c r="B47" t="str">
        <f>_xlfn.XLOOKUP(tblOcupacao[[#This Row],[AMBIENTE]],tblAmbientes[NOME_AMBIENTE],tblAmbientes[ID],"")</f>
        <v/>
      </c>
      <c r="D47" t="str">
        <f>_xlfn.XLOOKUP(tblOcupacao[[#This Row],[TURNO]],tblTurnos[TURNO],tblTurnos[ID_TURNO],"")</f>
        <v/>
      </c>
      <c r="H47" s="35" t="e">
        <f t="shared" si="2"/>
        <v>#DIV/0!</v>
      </c>
      <c r="I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8" spans="1:9" x14ac:dyDescent="0.35">
      <c r="A48" s="2"/>
      <c r="B48" t="str">
        <f>_xlfn.XLOOKUP(tblOcupacao[[#This Row],[AMBIENTE]],tblAmbientes[NOME_AMBIENTE],tblAmbientes[ID],"")</f>
        <v/>
      </c>
      <c r="D48" t="str">
        <f>_xlfn.XLOOKUP(tblOcupacao[[#This Row],[TURNO]],tblTurnos[TURNO],tblTurnos[ID_TURNO],"")</f>
        <v/>
      </c>
      <c r="H48" s="35" t="e">
        <f t="shared" si="2"/>
        <v>#DIV/0!</v>
      </c>
      <c r="I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9" spans="1:9" x14ac:dyDescent="0.35">
      <c r="A49" s="2"/>
      <c r="B49" t="str">
        <f>_xlfn.XLOOKUP(tblOcupacao[[#This Row],[AMBIENTE]],tblAmbientes[NOME_AMBIENTE],tblAmbientes[ID],"")</f>
        <v/>
      </c>
      <c r="D49" t="str">
        <f>_xlfn.XLOOKUP(tblOcupacao[[#This Row],[TURNO]],tblTurnos[TURNO],tblTurnos[ID_TURNO],"")</f>
        <v/>
      </c>
      <c r="H49" s="35" t="e">
        <f t="shared" si="2"/>
        <v>#DIV/0!</v>
      </c>
      <c r="I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0" spans="1:9" x14ac:dyDescent="0.35">
      <c r="A50" s="2"/>
      <c r="B50" t="str">
        <f>_xlfn.XLOOKUP(tblOcupacao[[#This Row],[AMBIENTE]],tblAmbientes[NOME_AMBIENTE],tblAmbientes[ID],"")</f>
        <v/>
      </c>
      <c r="D50" t="str">
        <f>_xlfn.XLOOKUP(tblOcupacao[[#This Row],[TURNO]],tblTurnos[TURNO],tblTurnos[ID_TURNO],"")</f>
        <v/>
      </c>
      <c r="H50" s="35" t="e">
        <f t="shared" si="2"/>
        <v>#DIV/0!</v>
      </c>
      <c r="I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1" spans="1:9" x14ac:dyDescent="0.35">
      <c r="A51" s="2"/>
      <c r="B51" t="str">
        <f>_xlfn.XLOOKUP(tblOcupacao[[#This Row],[AMBIENTE]],tblAmbientes[NOME_AMBIENTE],tblAmbientes[ID],"")</f>
        <v/>
      </c>
      <c r="D51" t="str">
        <f>_xlfn.XLOOKUP(tblOcupacao[[#This Row],[TURNO]],tblTurnos[TURNO],tblTurnos[ID_TURNO],"")</f>
        <v/>
      </c>
      <c r="H51" s="35" t="e">
        <f t="shared" si="2"/>
        <v>#DIV/0!</v>
      </c>
      <c r="I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2" spans="1:9" x14ac:dyDescent="0.35">
      <c r="A52" s="2"/>
      <c r="B52" t="str">
        <f>_xlfn.XLOOKUP(tblOcupacao[[#This Row],[AMBIENTE]],tblAmbientes[NOME_AMBIENTE],tblAmbientes[ID],"")</f>
        <v/>
      </c>
      <c r="D52" t="str">
        <f>_xlfn.XLOOKUP(tblOcupacao[[#This Row],[TURNO]],tblTurnos[TURNO],tblTurnos[ID_TURNO],"")</f>
        <v/>
      </c>
      <c r="H52" s="35" t="e">
        <f t="shared" si="2"/>
        <v>#DIV/0!</v>
      </c>
      <c r="I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3" spans="1:9" x14ac:dyDescent="0.35">
      <c r="A53" s="2"/>
      <c r="B53" t="str">
        <f>_xlfn.XLOOKUP(tblOcupacao[[#This Row],[AMBIENTE]],tblAmbientes[NOME_AMBIENTE],tblAmbientes[ID],"")</f>
        <v/>
      </c>
      <c r="D53" t="str">
        <f>_xlfn.XLOOKUP(tblOcupacao[[#This Row],[TURNO]],tblTurnos[TURNO],tblTurnos[ID_TURNO],"")</f>
        <v/>
      </c>
      <c r="H53" s="35" t="e">
        <f t="shared" si="2"/>
        <v>#DIV/0!</v>
      </c>
      <c r="I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4" spans="1:9" x14ac:dyDescent="0.35">
      <c r="A54" s="2"/>
      <c r="B54" t="str">
        <f>_xlfn.XLOOKUP(tblOcupacao[[#This Row],[AMBIENTE]],tblAmbientes[NOME_AMBIENTE],tblAmbientes[ID],"")</f>
        <v/>
      </c>
      <c r="D54" t="str">
        <f>_xlfn.XLOOKUP(tblOcupacao[[#This Row],[TURNO]],tblTurnos[TURNO],tblTurnos[ID_TURNO],"")</f>
        <v/>
      </c>
      <c r="H54" s="35" t="e">
        <f t="shared" si="2"/>
        <v>#DIV/0!</v>
      </c>
      <c r="I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5" spans="1:9" x14ac:dyDescent="0.35">
      <c r="A55" s="2"/>
      <c r="B55" t="str">
        <f>_xlfn.XLOOKUP(tblOcupacao[[#This Row],[AMBIENTE]],tblAmbientes[NOME_AMBIENTE],tblAmbientes[ID],"")</f>
        <v/>
      </c>
      <c r="D55" t="str">
        <f>_xlfn.XLOOKUP(tblOcupacao[[#This Row],[TURNO]],tblTurnos[TURNO],tblTurnos[ID_TURNO],"")</f>
        <v/>
      </c>
      <c r="H55" s="35" t="e">
        <f t="shared" si="2"/>
        <v>#DIV/0!</v>
      </c>
      <c r="I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6" spans="1:9" x14ac:dyDescent="0.35">
      <c r="A56" s="2"/>
      <c r="B56" t="str">
        <f>_xlfn.XLOOKUP(tblOcupacao[[#This Row],[AMBIENTE]],tblAmbientes[NOME_AMBIENTE],tblAmbientes[ID],"")</f>
        <v/>
      </c>
      <c r="D56" t="str">
        <f>_xlfn.XLOOKUP(tblOcupacao[[#This Row],[TURNO]],tblTurnos[TURNO],tblTurnos[ID_TURNO],"")</f>
        <v/>
      </c>
      <c r="H56" s="35" t="e">
        <f t="shared" si="2"/>
        <v>#DIV/0!</v>
      </c>
      <c r="I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7" spans="1:9" x14ac:dyDescent="0.35">
      <c r="A57" s="2"/>
      <c r="B57" t="str">
        <f>_xlfn.XLOOKUP(tblOcupacao[[#This Row],[AMBIENTE]],tblAmbientes[NOME_AMBIENTE],tblAmbientes[ID],"")</f>
        <v/>
      </c>
      <c r="D57" t="str">
        <f>_xlfn.XLOOKUP(tblOcupacao[[#This Row],[TURNO]],tblTurnos[TURNO],tblTurnos[ID_TURNO],"")</f>
        <v/>
      </c>
      <c r="H57" s="35" t="e">
        <f t="shared" si="2"/>
        <v>#DIV/0!</v>
      </c>
      <c r="I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8" spans="1:9" x14ac:dyDescent="0.35">
      <c r="A58" s="2"/>
      <c r="B58" t="str">
        <f>_xlfn.XLOOKUP(tblOcupacao[[#This Row],[AMBIENTE]],tblAmbientes[NOME_AMBIENTE],tblAmbientes[ID],"")</f>
        <v/>
      </c>
      <c r="D58" t="str">
        <f>_xlfn.XLOOKUP(tblOcupacao[[#This Row],[TURNO]],tblTurnos[TURNO],tblTurnos[ID_TURNO],"")</f>
        <v/>
      </c>
      <c r="H58" s="35" t="e">
        <f t="shared" si="2"/>
        <v>#DIV/0!</v>
      </c>
      <c r="I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9" spans="1:9" x14ac:dyDescent="0.35">
      <c r="A59" s="2"/>
      <c r="B59" t="str">
        <f>_xlfn.XLOOKUP(tblOcupacao[[#This Row],[AMBIENTE]],tblAmbientes[NOME_AMBIENTE],tblAmbientes[ID],"")</f>
        <v/>
      </c>
      <c r="D59" t="str">
        <f>_xlfn.XLOOKUP(tblOcupacao[[#This Row],[TURNO]],tblTurnos[TURNO],tblTurnos[ID_TURNO],"")</f>
        <v/>
      </c>
      <c r="H59" s="35" t="e">
        <f t="shared" si="2"/>
        <v>#DIV/0!</v>
      </c>
      <c r="I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0" spans="1:9" x14ac:dyDescent="0.35">
      <c r="A60" s="2"/>
      <c r="B60" t="str">
        <f>_xlfn.XLOOKUP(tblOcupacao[[#This Row],[AMBIENTE]],tblAmbientes[NOME_AMBIENTE],tblAmbientes[ID],"")</f>
        <v/>
      </c>
      <c r="D60" t="str">
        <f>_xlfn.XLOOKUP(tblOcupacao[[#This Row],[TURNO]],tblTurnos[TURNO],tblTurnos[ID_TURNO],"")</f>
        <v/>
      </c>
      <c r="H60" s="35" t="e">
        <f t="shared" si="2"/>
        <v>#DIV/0!</v>
      </c>
      <c r="I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1" spans="1:9" x14ac:dyDescent="0.35">
      <c r="A61" s="2"/>
      <c r="B61" t="str">
        <f>_xlfn.XLOOKUP(tblOcupacao[[#This Row],[AMBIENTE]],tblAmbientes[NOME_AMBIENTE],tblAmbientes[ID],"")</f>
        <v/>
      </c>
      <c r="D61" t="str">
        <f>_xlfn.XLOOKUP(tblOcupacao[[#This Row],[TURNO]],tblTurnos[TURNO],tblTurnos[ID_TURNO],"")</f>
        <v/>
      </c>
      <c r="H61" s="35" t="e">
        <f t="shared" si="2"/>
        <v>#DIV/0!</v>
      </c>
      <c r="I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2" spans="1:9" x14ac:dyDescent="0.35">
      <c r="A62" s="2"/>
      <c r="B62" t="str">
        <f>_xlfn.XLOOKUP(tblOcupacao[[#This Row],[AMBIENTE]],tblAmbientes[NOME_AMBIENTE],tblAmbientes[ID],"")</f>
        <v/>
      </c>
      <c r="D62" t="str">
        <f>_xlfn.XLOOKUP(tblOcupacao[[#This Row],[TURNO]],tblTurnos[TURNO],tblTurnos[ID_TURNO],"")</f>
        <v/>
      </c>
      <c r="H62" s="35" t="e">
        <f t="shared" si="2"/>
        <v>#DIV/0!</v>
      </c>
      <c r="I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3" spans="1:9" x14ac:dyDescent="0.35">
      <c r="A63" s="2"/>
      <c r="B63" t="str">
        <f>_xlfn.XLOOKUP(tblOcupacao[[#This Row],[AMBIENTE]],tblAmbientes[NOME_AMBIENTE],tblAmbientes[ID],"")</f>
        <v/>
      </c>
      <c r="D63" t="str">
        <f>_xlfn.XLOOKUP(tblOcupacao[[#This Row],[TURNO]],tblTurnos[TURNO],tblTurnos[ID_TURNO],"")</f>
        <v/>
      </c>
      <c r="H63" s="35" t="e">
        <f t="shared" si="2"/>
        <v>#DIV/0!</v>
      </c>
      <c r="I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4" spans="1:9" x14ac:dyDescent="0.35">
      <c r="A64" s="2"/>
      <c r="B64" t="str">
        <f>_xlfn.XLOOKUP(tblOcupacao[[#This Row],[AMBIENTE]],tblAmbientes[NOME_AMBIENTE],tblAmbientes[ID],"")</f>
        <v/>
      </c>
      <c r="D64" t="str">
        <f>_xlfn.XLOOKUP(tblOcupacao[[#This Row],[TURNO]],tblTurnos[TURNO],tblTurnos[ID_TURNO],"")</f>
        <v/>
      </c>
      <c r="H64" s="35" t="e">
        <f t="shared" si="2"/>
        <v>#DIV/0!</v>
      </c>
      <c r="I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5" spans="1:9" x14ac:dyDescent="0.35">
      <c r="A65" s="2"/>
      <c r="B65" t="str">
        <f>_xlfn.XLOOKUP(tblOcupacao[[#This Row],[AMBIENTE]],tblAmbientes[NOME_AMBIENTE],tblAmbientes[ID],"")</f>
        <v/>
      </c>
      <c r="D65" t="str">
        <f>_xlfn.XLOOKUP(tblOcupacao[[#This Row],[TURNO]],tblTurnos[TURNO],tblTurnos[ID_TURNO],"")</f>
        <v/>
      </c>
      <c r="H65" s="35" t="e">
        <f t="shared" si="2"/>
        <v>#DIV/0!</v>
      </c>
      <c r="I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6" spans="1:9" x14ac:dyDescent="0.35">
      <c r="A66" s="2"/>
      <c r="B66" t="str">
        <f>_xlfn.XLOOKUP(tblOcupacao[[#This Row],[AMBIENTE]],tblAmbientes[NOME_AMBIENTE],tblAmbientes[ID],"")</f>
        <v/>
      </c>
      <c r="D66" t="str">
        <f>_xlfn.XLOOKUP(tblOcupacao[[#This Row],[TURNO]],tblTurnos[TURNO],tblTurnos[ID_TURNO],"")</f>
        <v/>
      </c>
      <c r="H66" s="35" t="e">
        <f t="shared" si="2"/>
        <v>#DIV/0!</v>
      </c>
      <c r="I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7" spans="1:9" x14ac:dyDescent="0.35">
      <c r="A67" s="2"/>
      <c r="B67" t="str">
        <f>_xlfn.XLOOKUP(tblOcupacao[[#This Row],[AMBIENTE]],tblAmbientes[NOME_AMBIENTE],tblAmbientes[ID],"")</f>
        <v/>
      </c>
      <c r="D67" t="str">
        <f>_xlfn.XLOOKUP(tblOcupacao[[#This Row],[TURNO]],tblTurnos[TURNO],tblTurnos[ID_TURNO],"")</f>
        <v/>
      </c>
      <c r="H67" s="35" t="e">
        <f t="shared" si="2"/>
        <v>#DIV/0!</v>
      </c>
      <c r="I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8" spans="1:9" x14ac:dyDescent="0.35">
      <c r="A68" s="2"/>
      <c r="B68" t="str">
        <f>_xlfn.XLOOKUP(tblOcupacao[[#This Row],[AMBIENTE]],tblAmbientes[NOME_AMBIENTE],tblAmbientes[ID],"")</f>
        <v/>
      </c>
      <c r="D68" t="str">
        <f>_xlfn.XLOOKUP(tblOcupacao[[#This Row],[TURNO]],tblTurnos[TURNO],tblTurnos[ID_TURNO],"")</f>
        <v/>
      </c>
      <c r="H68" s="35" t="e">
        <f t="shared" si="2"/>
        <v>#DIV/0!</v>
      </c>
      <c r="I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9" spans="1:9" x14ac:dyDescent="0.35">
      <c r="A69" s="2"/>
      <c r="B69" t="str">
        <f>_xlfn.XLOOKUP(tblOcupacao[[#This Row],[AMBIENTE]],tblAmbientes[NOME_AMBIENTE],tblAmbientes[ID],"")</f>
        <v/>
      </c>
      <c r="D69" t="str">
        <f>_xlfn.XLOOKUP(tblOcupacao[[#This Row],[TURNO]],tblTurnos[TURNO],tblTurnos[ID_TURNO],"")</f>
        <v/>
      </c>
      <c r="H69" s="35" t="e">
        <f t="shared" si="2"/>
        <v>#DIV/0!</v>
      </c>
      <c r="I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0" spans="1:9" x14ac:dyDescent="0.35">
      <c r="A70" s="2"/>
      <c r="B70" t="str">
        <f>_xlfn.XLOOKUP(tblOcupacao[[#This Row],[AMBIENTE]],tblAmbientes[NOME_AMBIENTE],tblAmbientes[ID],"")</f>
        <v/>
      </c>
      <c r="D70" t="str">
        <f>_xlfn.XLOOKUP(tblOcupacao[[#This Row],[TURNO]],tblTurnos[TURNO],tblTurnos[ID_TURNO],"")</f>
        <v/>
      </c>
      <c r="H70" s="35" t="e">
        <f t="shared" si="2"/>
        <v>#DIV/0!</v>
      </c>
      <c r="I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1" spans="1:9" x14ac:dyDescent="0.35">
      <c r="A71" s="2"/>
      <c r="B71" t="str">
        <f>_xlfn.XLOOKUP(tblOcupacao[[#This Row],[AMBIENTE]],tblAmbientes[NOME_AMBIENTE],tblAmbientes[ID],"")</f>
        <v/>
      </c>
      <c r="D71" t="str">
        <f>_xlfn.XLOOKUP(tblOcupacao[[#This Row],[TURNO]],tblTurnos[TURNO],tblTurnos[ID_TURNO],"")</f>
        <v/>
      </c>
      <c r="H71" s="35" t="e">
        <f t="shared" si="2"/>
        <v>#DIV/0!</v>
      </c>
      <c r="I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2" spans="1:9" x14ac:dyDescent="0.35">
      <c r="A72" s="2"/>
      <c r="B72" t="str">
        <f>_xlfn.XLOOKUP(tblOcupacao[[#This Row],[AMBIENTE]],tblAmbientes[NOME_AMBIENTE],tblAmbientes[ID],"")</f>
        <v/>
      </c>
      <c r="D72" t="str">
        <f>_xlfn.XLOOKUP(tblOcupacao[[#This Row],[TURNO]],tblTurnos[TURNO],tblTurnos[ID_TURNO],"")</f>
        <v/>
      </c>
      <c r="H72" s="35" t="e">
        <f t="shared" si="2"/>
        <v>#DIV/0!</v>
      </c>
      <c r="I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3" spans="1:9" x14ac:dyDescent="0.35">
      <c r="A73" s="2"/>
      <c r="B73" t="str">
        <f>_xlfn.XLOOKUP(tblOcupacao[[#This Row],[AMBIENTE]],tblAmbientes[NOME_AMBIENTE],tblAmbientes[ID],"")</f>
        <v/>
      </c>
      <c r="D73" t="str">
        <f>_xlfn.XLOOKUP(tblOcupacao[[#This Row],[TURNO]],tblTurnos[TURNO],tblTurnos[ID_TURNO],"")</f>
        <v/>
      </c>
      <c r="H73" s="35" t="e">
        <f t="shared" si="2"/>
        <v>#DIV/0!</v>
      </c>
      <c r="I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4" spans="1:9" x14ac:dyDescent="0.35">
      <c r="A74" s="2"/>
      <c r="B74" t="str">
        <f>_xlfn.XLOOKUP(tblOcupacao[[#This Row],[AMBIENTE]],tblAmbientes[NOME_AMBIENTE],tblAmbientes[ID],"")</f>
        <v/>
      </c>
      <c r="D74" t="str">
        <f>_xlfn.XLOOKUP(tblOcupacao[[#This Row],[TURNO]],tblTurnos[TURNO],tblTurnos[ID_TURNO],"")</f>
        <v/>
      </c>
      <c r="H74" s="35" t="e">
        <f t="shared" si="2"/>
        <v>#DIV/0!</v>
      </c>
      <c r="I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5" spans="1:9" x14ac:dyDescent="0.35">
      <c r="A75" s="2"/>
      <c r="B75" t="str">
        <f>_xlfn.XLOOKUP(tblOcupacao[[#This Row],[AMBIENTE]],tblAmbientes[NOME_AMBIENTE],tblAmbientes[ID],"")</f>
        <v/>
      </c>
      <c r="D75" t="str">
        <f>_xlfn.XLOOKUP(tblOcupacao[[#This Row],[TURNO]],tblTurnos[TURNO],tblTurnos[ID_TURNO],"")</f>
        <v/>
      </c>
      <c r="H75" s="35" t="e">
        <f t="shared" si="2"/>
        <v>#DIV/0!</v>
      </c>
      <c r="I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6" spans="1:9" x14ac:dyDescent="0.35">
      <c r="A76" s="2"/>
      <c r="B76" t="str">
        <f>_xlfn.XLOOKUP(tblOcupacao[[#This Row],[AMBIENTE]],tblAmbientes[NOME_AMBIENTE],tblAmbientes[ID],"")</f>
        <v/>
      </c>
      <c r="D76" t="str">
        <f>_xlfn.XLOOKUP(tblOcupacao[[#This Row],[TURNO]],tblTurnos[TURNO],tblTurnos[ID_TURNO],"")</f>
        <v/>
      </c>
      <c r="H76" s="35" t="e">
        <f t="shared" si="2"/>
        <v>#DIV/0!</v>
      </c>
      <c r="I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7" spans="1:9" x14ac:dyDescent="0.35">
      <c r="A77" s="2"/>
      <c r="B77" t="str">
        <f>_xlfn.XLOOKUP(tblOcupacao[[#This Row],[AMBIENTE]],tblAmbientes[NOME_AMBIENTE],tblAmbientes[ID],"")</f>
        <v/>
      </c>
      <c r="D77" t="str">
        <f>_xlfn.XLOOKUP(tblOcupacao[[#This Row],[TURNO]],tblTurnos[TURNO],tblTurnos[ID_TURNO],"")</f>
        <v/>
      </c>
      <c r="H77" s="35" t="e">
        <f t="shared" si="2"/>
        <v>#DIV/0!</v>
      </c>
      <c r="I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8" spans="1:9" x14ac:dyDescent="0.35">
      <c r="A78" s="2"/>
      <c r="B78" t="str">
        <f>_xlfn.XLOOKUP(tblOcupacao[[#This Row],[AMBIENTE]],tblAmbientes[NOME_AMBIENTE],tblAmbientes[ID],"")</f>
        <v/>
      </c>
      <c r="D78" t="str">
        <f>_xlfn.XLOOKUP(tblOcupacao[[#This Row],[TURNO]],tblTurnos[TURNO],tblTurnos[ID_TURNO],"")</f>
        <v/>
      </c>
      <c r="H78" s="35" t="e">
        <f t="shared" si="2"/>
        <v>#DIV/0!</v>
      </c>
      <c r="I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9" spans="1:9" x14ac:dyDescent="0.35">
      <c r="A79" s="2"/>
      <c r="B79" t="str">
        <f>_xlfn.XLOOKUP(tblOcupacao[[#This Row],[AMBIENTE]],tblAmbientes[NOME_AMBIENTE],tblAmbientes[ID],"")</f>
        <v/>
      </c>
      <c r="D79" t="str">
        <f>_xlfn.XLOOKUP(tblOcupacao[[#This Row],[TURNO]],tblTurnos[TURNO],tblTurnos[ID_TURNO],"")</f>
        <v/>
      </c>
      <c r="H79" s="35" t="e">
        <f t="shared" si="2"/>
        <v>#DIV/0!</v>
      </c>
      <c r="I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0" spans="1:9" x14ac:dyDescent="0.35">
      <c r="A80" s="2"/>
      <c r="B80" t="str">
        <f>_xlfn.XLOOKUP(tblOcupacao[[#This Row],[AMBIENTE]],tblAmbientes[NOME_AMBIENTE],tblAmbientes[ID],"")</f>
        <v/>
      </c>
      <c r="D80" t="str">
        <f>_xlfn.XLOOKUP(tblOcupacao[[#This Row],[TURNO]],tblTurnos[TURNO],tblTurnos[ID_TURNO],"")</f>
        <v/>
      </c>
      <c r="H80" s="35" t="e">
        <f t="shared" si="2"/>
        <v>#DIV/0!</v>
      </c>
      <c r="I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1" spans="1:9" x14ac:dyDescent="0.35">
      <c r="A81" s="2"/>
      <c r="B81" t="str">
        <f>_xlfn.XLOOKUP(tblOcupacao[[#This Row],[AMBIENTE]],tblAmbientes[NOME_AMBIENTE],tblAmbientes[ID],"")</f>
        <v/>
      </c>
      <c r="D81" t="str">
        <f>_xlfn.XLOOKUP(tblOcupacao[[#This Row],[TURNO]],tblTurnos[TURNO],tblTurnos[ID_TURNO],"")</f>
        <v/>
      </c>
      <c r="H81" s="35" t="e">
        <f t="shared" si="2"/>
        <v>#DIV/0!</v>
      </c>
      <c r="I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2" spans="1:9" x14ac:dyDescent="0.35">
      <c r="A82" s="2"/>
      <c r="B82" t="str">
        <f>_xlfn.XLOOKUP(tblOcupacao[[#This Row],[AMBIENTE]],tblAmbientes[NOME_AMBIENTE],tblAmbientes[ID],"")</f>
        <v/>
      </c>
      <c r="D82" t="str">
        <f>_xlfn.XLOOKUP(tblOcupacao[[#This Row],[TURNO]],tblTurnos[TURNO],tblTurnos[ID_TURNO],"")</f>
        <v/>
      </c>
      <c r="H82" s="35" t="e">
        <f t="shared" si="2"/>
        <v>#DIV/0!</v>
      </c>
      <c r="I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3" spans="1:9" x14ac:dyDescent="0.35">
      <c r="A83" s="2"/>
      <c r="B83" t="str">
        <f>_xlfn.XLOOKUP(tblOcupacao[[#This Row],[AMBIENTE]],tblAmbientes[NOME_AMBIENTE],tblAmbientes[ID],"")</f>
        <v/>
      </c>
      <c r="D83" t="str">
        <f>_xlfn.XLOOKUP(tblOcupacao[[#This Row],[TURNO]],tblTurnos[TURNO],tblTurnos[ID_TURNO],"")</f>
        <v/>
      </c>
      <c r="H83" s="35" t="e">
        <f t="shared" si="2"/>
        <v>#DIV/0!</v>
      </c>
      <c r="I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4" spans="1:9" x14ac:dyDescent="0.35">
      <c r="A84" s="2"/>
      <c r="B84" t="str">
        <f>_xlfn.XLOOKUP(tblOcupacao[[#This Row],[AMBIENTE]],tblAmbientes[NOME_AMBIENTE],tblAmbientes[ID],"")</f>
        <v/>
      </c>
      <c r="D84" t="str">
        <f>_xlfn.XLOOKUP(tblOcupacao[[#This Row],[TURNO]],tblTurnos[TURNO],tblTurnos[ID_TURNO],"")</f>
        <v/>
      </c>
      <c r="H84" s="35" t="e">
        <f t="shared" si="2"/>
        <v>#DIV/0!</v>
      </c>
      <c r="I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5" spans="1:9" x14ac:dyDescent="0.35">
      <c r="A85" s="2"/>
      <c r="B85" t="str">
        <f>_xlfn.XLOOKUP(tblOcupacao[[#This Row],[AMBIENTE]],tblAmbientes[NOME_AMBIENTE],tblAmbientes[ID],"")</f>
        <v/>
      </c>
      <c r="D85" t="str">
        <f>_xlfn.XLOOKUP(tblOcupacao[[#This Row],[TURNO]],tblTurnos[TURNO],tblTurnos[ID_TURNO],"")</f>
        <v/>
      </c>
      <c r="H85" s="35" t="e">
        <f t="shared" si="2"/>
        <v>#DIV/0!</v>
      </c>
      <c r="I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6" spans="1:9" x14ac:dyDescent="0.35">
      <c r="A86" s="2"/>
      <c r="B86" t="str">
        <f>_xlfn.XLOOKUP(tblOcupacao[[#This Row],[AMBIENTE]],tblAmbientes[NOME_AMBIENTE],tblAmbientes[ID],"")</f>
        <v/>
      </c>
      <c r="D86" t="str">
        <f>_xlfn.XLOOKUP(tblOcupacao[[#This Row],[TURNO]],tblTurnos[TURNO],tblTurnos[ID_TURNO],"")</f>
        <v/>
      </c>
      <c r="H86" s="35" t="e">
        <f t="shared" ref="H86:H149" si="3">$F86/$G86</f>
        <v>#DIV/0!</v>
      </c>
      <c r="I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7" spans="1:9" x14ac:dyDescent="0.35">
      <c r="A87" s="2"/>
      <c r="B87" t="str">
        <f>_xlfn.XLOOKUP(tblOcupacao[[#This Row],[AMBIENTE]],tblAmbientes[NOME_AMBIENTE],tblAmbientes[ID],"")</f>
        <v/>
      </c>
      <c r="D87" t="str">
        <f>_xlfn.XLOOKUP(tblOcupacao[[#This Row],[TURNO]],tblTurnos[TURNO],tblTurnos[ID_TURNO],"")</f>
        <v/>
      </c>
      <c r="H87" s="35" t="e">
        <f t="shared" si="3"/>
        <v>#DIV/0!</v>
      </c>
      <c r="I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8" spans="1:9" x14ac:dyDescent="0.35">
      <c r="A88" s="2"/>
      <c r="B88" t="str">
        <f>_xlfn.XLOOKUP(tblOcupacao[[#This Row],[AMBIENTE]],tblAmbientes[NOME_AMBIENTE],tblAmbientes[ID],"")</f>
        <v/>
      </c>
      <c r="D88" t="str">
        <f>_xlfn.XLOOKUP(tblOcupacao[[#This Row],[TURNO]],tblTurnos[TURNO],tblTurnos[ID_TURNO],"")</f>
        <v/>
      </c>
      <c r="H88" s="35" t="e">
        <f t="shared" si="3"/>
        <v>#DIV/0!</v>
      </c>
      <c r="I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9" spans="1:9" x14ac:dyDescent="0.35">
      <c r="A89" s="2"/>
      <c r="B89" t="str">
        <f>_xlfn.XLOOKUP(tblOcupacao[[#This Row],[AMBIENTE]],tblAmbientes[NOME_AMBIENTE],tblAmbientes[ID],"")</f>
        <v/>
      </c>
      <c r="D89" t="str">
        <f>_xlfn.XLOOKUP(tblOcupacao[[#This Row],[TURNO]],tblTurnos[TURNO],tblTurnos[ID_TURNO],"")</f>
        <v/>
      </c>
      <c r="H89" s="35" t="e">
        <f t="shared" si="3"/>
        <v>#DIV/0!</v>
      </c>
      <c r="I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0" spans="1:9" x14ac:dyDescent="0.35">
      <c r="A90" s="2"/>
      <c r="B90" t="str">
        <f>_xlfn.XLOOKUP(tblOcupacao[[#This Row],[AMBIENTE]],tblAmbientes[NOME_AMBIENTE],tblAmbientes[ID],"")</f>
        <v/>
      </c>
      <c r="D90" t="str">
        <f>_xlfn.XLOOKUP(tblOcupacao[[#This Row],[TURNO]],tblTurnos[TURNO],tblTurnos[ID_TURNO],"")</f>
        <v/>
      </c>
      <c r="H90" s="35" t="e">
        <f t="shared" si="3"/>
        <v>#DIV/0!</v>
      </c>
      <c r="I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1" spans="1:9" x14ac:dyDescent="0.35">
      <c r="A91" s="2"/>
      <c r="B91" t="str">
        <f>_xlfn.XLOOKUP(tblOcupacao[[#This Row],[AMBIENTE]],tblAmbientes[NOME_AMBIENTE],tblAmbientes[ID],"")</f>
        <v/>
      </c>
      <c r="D91" t="str">
        <f>_xlfn.XLOOKUP(tblOcupacao[[#This Row],[TURNO]],tblTurnos[TURNO],tblTurnos[ID_TURNO],"")</f>
        <v/>
      </c>
      <c r="H91" s="35" t="e">
        <f t="shared" si="3"/>
        <v>#DIV/0!</v>
      </c>
      <c r="I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2" spans="1:9" x14ac:dyDescent="0.35">
      <c r="A92" s="2"/>
      <c r="B92" t="str">
        <f>_xlfn.XLOOKUP(tblOcupacao[[#This Row],[AMBIENTE]],tblAmbientes[NOME_AMBIENTE],tblAmbientes[ID],"")</f>
        <v/>
      </c>
      <c r="D92" t="str">
        <f>_xlfn.XLOOKUP(tblOcupacao[[#This Row],[TURNO]],tblTurnos[TURNO],tblTurnos[ID_TURNO],"")</f>
        <v/>
      </c>
      <c r="H92" s="35" t="e">
        <f t="shared" si="3"/>
        <v>#DIV/0!</v>
      </c>
      <c r="I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3" spans="1:9" x14ac:dyDescent="0.35">
      <c r="A93" s="2"/>
      <c r="B93" t="str">
        <f>_xlfn.XLOOKUP(tblOcupacao[[#This Row],[AMBIENTE]],tblAmbientes[NOME_AMBIENTE],tblAmbientes[ID],"")</f>
        <v/>
      </c>
      <c r="D93" t="str">
        <f>_xlfn.XLOOKUP(tblOcupacao[[#This Row],[TURNO]],tblTurnos[TURNO],tblTurnos[ID_TURNO],"")</f>
        <v/>
      </c>
      <c r="H93" s="35" t="e">
        <f t="shared" si="3"/>
        <v>#DIV/0!</v>
      </c>
      <c r="I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4" spans="1:9" x14ac:dyDescent="0.35">
      <c r="A94" s="2"/>
      <c r="B94" t="str">
        <f>_xlfn.XLOOKUP(tblOcupacao[[#This Row],[AMBIENTE]],tblAmbientes[NOME_AMBIENTE],tblAmbientes[ID],"")</f>
        <v/>
      </c>
      <c r="D94" t="str">
        <f>_xlfn.XLOOKUP(tblOcupacao[[#This Row],[TURNO]],tblTurnos[TURNO],tblTurnos[ID_TURNO],"")</f>
        <v/>
      </c>
      <c r="H94" s="35" t="e">
        <f t="shared" si="3"/>
        <v>#DIV/0!</v>
      </c>
      <c r="I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5" spans="1:9" x14ac:dyDescent="0.35">
      <c r="A95" s="2"/>
      <c r="B95" t="str">
        <f>_xlfn.XLOOKUP(tblOcupacao[[#This Row],[AMBIENTE]],tblAmbientes[NOME_AMBIENTE],tblAmbientes[ID],"")</f>
        <v/>
      </c>
      <c r="D95" t="str">
        <f>_xlfn.XLOOKUP(tblOcupacao[[#This Row],[TURNO]],tblTurnos[TURNO],tblTurnos[ID_TURNO],"")</f>
        <v/>
      </c>
      <c r="H95" s="35" t="e">
        <f t="shared" si="3"/>
        <v>#DIV/0!</v>
      </c>
      <c r="I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6" spans="1:9" x14ac:dyDescent="0.35">
      <c r="A96" s="2"/>
      <c r="B96" t="str">
        <f>_xlfn.XLOOKUP(tblOcupacao[[#This Row],[AMBIENTE]],tblAmbientes[NOME_AMBIENTE],tblAmbientes[ID],"")</f>
        <v/>
      </c>
      <c r="D96" t="str">
        <f>_xlfn.XLOOKUP(tblOcupacao[[#This Row],[TURNO]],tblTurnos[TURNO],tblTurnos[ID_TURNO],"")</f>
        <v/>
      </c>
      <c r="H96" s="35" t="e">
        <f t="shared" si="3"/>
        <v>#DIV/0!</v>
      </c>
      <c r="I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7" spans="1:9" x14ac:dyDescent="0.35">
      <c r="A97" s="2"/>
      <c r="B97" t="str">
        <f>_xlfn.XLOOKUP(tblOcupacao[[#This Row],[AMBIENTE]],tblAmbientes[NOME_AMBIENTE],tblAmbientes[ID],"")</f>
        <v/>
      </c>
      <c r="D97" t="str">
        <f>_xlfn.XLOOKUP(tblOcupacao[[#This Row],[TURNO]],tblTurnos[TURNO],tblTurnos[ID_TURNO],"")</f>
        <v/>
      </c>
      <c r="H97" s="35" t="e">
        <f t="shared" si="3"/>
        <v>#DIV/0!</v>
      </c>
      <c r="I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8" spans="1:9" x14ac:dyDescent="0.35">
      <c r="A98" s="2"/>
      <c r="B98" t="str">
        <f>_xlfn.XLOOKUP(tblOcupacao[[#This Row],[AMBIENTE]],tblAmbientes[NOME_AMBIENTE],tblAmbientes[ID],"")</f>
        <v/>
      </c>
      <c r="D98" t="str">
        <f>_xlfn.XLOOKUP(tblOcupacao[[#This Row],[TURNO]],tblTurnos[TURNO],tblTurnos[ID_TURNO],"")</f>
        <v/>
      </c>
      <c r="H98" s="35" t="e">
        <f t="shared" si="3"/>
        <v>#DIV/0!</v>
      </c>
      <c r="I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9" spans="1:9" x14ac:dyDescent="0.35">
      <c r="A99" s="2"/>
      <c r="B99" t="str">
        <f>_xlfn.XLOOKUP(tblOcupacao[[#This Row],[AMBIENTE]],tblAmbientes[NOME_AMBIENTE],tblAmbientes[ID],"")</f>
        <v/>
      </c>
      <c r="D99" t="str">
        <f>_xlfn.XLOOKUP(tblOcupacao[[#This Row],[TURNO]],tblTurnos[TURNO],tblTurnos[ID_TURNO],"")</f>
        <v/>
      </c>
      <c r="H99" s="35" t="e">
        <f t="shared" si="3"/>
        <v>#DIV/0!</v>
      </c>
      <c r="I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0" spans="1:9" x14ac:dyDescent="0.35">
      <c r="A100" s="2"/>
      <c r="B100" t="str">
        <f>_xlfn.XLOOKUP(tblOcupacao[[#This Row],[AMBIENTE]],tblAmbientes[NOME_AMBIENTE],tblAmbientes[ID],"")</f>
        <v/>
      </c>
      <c r="D100" t="str">
        <f>_xlfn.XLOOKUP(tblOcupacao[[#This Row],[TURNO]],tblTurnos[TURNO],tblTurnos[ID_TURNO],"")</f>
        <v/>
      </c>
      <c r="H100" s="35" t="e">
        <f t="shared" si="3"/>
        <v>#DIV/0!</v>
      </c>
      <c r="I1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1" spans="1:9" x14ac:dyDescent="0.35">
      <c r="A101" s="2"/>
      <c r="B101" t="str">
        <f>_xlfn.XLOOKUP(tblOcupacao[[#This Row],[AMBIENTE]],tblAmbientes[NOME_AMBIENTE],tblAmbientes[ID],"")</f>
        <v/>
      </c>
      <c r="D101" t="str">
        <f>_xlfn.XLOOKUP(tblOcupacao[[#This Row],[TURNO]],tblTurnos[TURNO],tblTurnos[ID_TURNO],"")</f>
        <v/>
      </c>
      <c r="H101" s="35" t="e">
        <f t="shared" si="3"/>
        <v>#DIV/0!</v>
      </c>
      <c r="I1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2" spans="1:9" x14ac:dyDescent="0.35">
      <c r="A102" s="2"/>
      <c r="B102" t="str">
        <f>_xlfn.XLOOKUP(tblOcupacao[[#This Row],[AMBIENTE]],tblAmbientes[NOME_AMBIENTE],tblAmbientes[ID],"")</f>
        <v/>
      </c>
      <c r="D102" t="str">
        <f>_xlfn.XLOOKUP(tblOcupacao[[#This Row],[TURNO]],tblTurnos[TURNO],tblTurnos[ID_TURNO],"")</f>
        <v/>
      </c>
      <c r="H102" s="35" t="e">
        <f t="shared" si="3"/>
        <v>#DIV/0!</v>
      </c>
      <c r="I1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3" spans="1:9" x14ac:dyDescent="0.35">
      <c r="A103" s="2"/>
      <c r="B103" t="str">
        <f>_xlfn.XLOOKUP(tblOcupacao[[#This Row],[AMBIENTE]],tblAmbientes[NOME_AMBIENTE],tblAmbientes[ID],"")</f>
        <v/>
      </c>
      <c r="D103" t="str">
        <f>_xlfn.XLOOKUP(tblOcupacao[[#This Row],[TURNO]],tblTurnos[TURNO],tblTurnos[ID_TURNO],"")</f>
        <v/>
      </c>
      <c r="H103" s="35" t="e">
        <f t="shared" si="3"/>
        <v>#DIV/0!</v>
      </c>
      <c r="I1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4" spans="1:9" x14ac:dyDescent="0.35">
      <c r="A104" s="2"/>
      <c r="B104" t="str">
        <f>_xlfn.XLOOKUP(tblOcupacao[[#This Row],[AMBIENTE]],tblAmbientes[NOME_AMBIENTE],tblAmbientes[ID],"")</f>
        <v/>
      </c>
      <c r="D104" t="str">
        <f>_xlfn.XLOOKUP(tblOcupacao[[#This Row],[TURNO]],tblTurnos[TURNO],tblTurnos[ID_TURNO],"")</f>
        <v/>
      </c>
      <c r="H104" s="35" t="e">
        <f t="shared" si="3"/>
        <v>#DIV/0!</v>
      </c>
      <c r="I1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5" spans="1:9" x14ac:dyDescent="0.35">
      <c r="A105" s="2"/>
      <c r="B105" t="str">
        <f>_xlfn.XLOOKUP(tblOcupacao[[#This Row],[AMBIENTE]],tblAmbientes[NOME_AMBIENTE],tblAmbientes[ID],"")</f>
        <v/>
      </c>
      <c r="D105" t="str">
        <f>_xlfn.XLOOKUP(tblOcupacao[[#This Row],[TURNO]],tblTurnos[TURNO],tblTurnos[ID_TURNO],"")</f>
        <v/>
      </c>
      <c r="H105" s="35" t="e">
        <f t="shared" si="3"/>
        <v>#DIV/0!</v>
      </c>
      <c r="I1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6" spans="1:9" x14ac:dyDescent="0.35">
      <c r="A106" s="2"/>
      <c r="B106" t="str">
        <f>_xlfn.XLOOKUP(tblOcupacao[[#This Row],[AMBIENTE]],tblAmbientes[NOME_AMBIENTE],tblAmbientes[ID],"")</f>
        <v/>
      </c>
      <c r="D106" t="str">
        <f>_xlfn.XLOOKUP(tblOcupacao[[#This Row],[TURNO]],tblTurnos[TURNO],tblTurnos[ID_TURNO],"")</f>
        <v/>
      </c>
      <c r="H106" s="35" t="e">
        <f t="shared" si="3"/>
        <v>#DIV/0!</v>
      </c>
      <c r="I1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7" spans="1:9" x14ac:dyDescent="0.35">
      <c r="A107" s="2"/>
      <c r="B107" t="str">
        <f>_xlfn.XLOOKUP(tblOcupacao[[#This Row],[AMBIENTE]],tblAmbientes[NOME_AMBIENTE],tblAmbientes[ID],"")</f>
        <v/>
      </c>
      <c r="D107" t="str">
        <f>_xlfn.XLOOKUP(tblOcupacao[[#This Row],[TURNO]],tblTurnos[TURNO],tblTurnos[ID_TURNO],"")</f>
        <v/>
      </c>
      <c r="H107" s="35" t="e">
        <f t="shared" si="3"/>
        <v>#DIV/0!</v>
      </c>
      <c r="I1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8" spans="1:9" x14ac:dyDescent="0.35">
      <c r="A108" s="2"/>
      <c r="B108" t="str">
        <f>_xlfn.XLOOKUP(tblOcupacao[[#This Row],[AMBIENTE]],tblAmbientes[NOME_AMBIENTE],tblAmbientes[ID],"")</f>
        <v/>
      </c>
      <c r="D108" t="str">
        <f>_xlfn.XLOOKUP(tblOcupacao[[#This Row],[TURNO]],tblTurnos[TURNO],tblTurnos[ID_TURNO],"")</f>
        <v/>
      </c>
      <c r="H108" s="35" t="e">
        <f t="shared" si="3"/>
        <v>#DIV/0!</v>
      </c>
      <c r="I1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9" spans="1:9" x14ac:dyDescent="0.35">
      <c r="A109" s="2"/>
      <c r="B109" t="str">
        <f>_xlfn.XLOOKUP(tblOcupacao[[#This Row],[AMBIENTE]],tblAmbientes[NOME_AMBIENTE],tblAmbientes[ID],"")</f>
        <v/>
      </c>
      <c r="D109" t="str">
        <f>_xlfn.XLOOKUP(tblOcupacao[[#This Row],[TURNO]],tblTurnos[TURNO],tblTurnos[ID_TURNO],"")</f>
        <v/>
      </c>
      <c r="H109" s="35" t="e">
        <f t="shared" si="3"/>
        <v>#DIV/0!</v>
      </c>
      <c r="I1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0" spans="1:9" x14ac:dyDescent="0.35">
      <c r="A110" s="2"/>
      <c r="B110" t="str">
        <f>_xlfn.XLOOKUP(tblOcupacao[[#This Row],[AMBIENTE]],tblAmbientes[NOME_AMBIENTE],tblAmbientes[ID],"")</f>
        <v/>
      </c>
      <c r="D110" t="str">
        <f>_xlfn.XLOOKUP(tblOcupacao[[#This Row],[TURNO]],tblTurnos[TURNO],tblTurnos[ID_TURNO],"")</f>
        <v/>
      </c>
      <c r="H110" s="35" t="e">
        <f t="shared" si="3"/>
        <v>#DIV/0!</v>
      </c>
      <c r="I1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1" spans="1:9" x14ac:dyDescent="0.35">
      <c r="A111" s="2"/>
      <c r="B111" t="str">
        <f>_xlfn.XLOOKUP(tblOcupacao[[#This Row],[AMBIENTE]],tblAmbientes[NOME_AMBIENTE],tblAmbientes[ID],"")</f>
        <v/>
      </c>
      <c r="D111" t="str">
        <f>_xlfn.XLOOKUP(tblOcupacao[[#This Row],[TURNO]],tblTurnos[TURNO],tblTurnos[ID_TURNO],"")</f>
        <v/>
      </c>
      <c r="H111" s="35" t="e">
        <f t="shared" si="3"/>
        <v>#DIV/0!</v>
      </c>
      <c r="I1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2" spans="1:9" x14ac:dyDescent="0.35">
      <c r="A112" s="2"/>
      <c r="B112" t="str">
        <f>_xlfn.XLOOKUP(tblOcupacao[[#This Row],[AMBIENTE]],tblAmbientes[NOME_AMBIENTE],tblAmbientes[ID],"")</f>
        <v/>
      </c>
      <c r="D112" t="str">
        <f>_xlfn.XLOOKUP(tblOcupacao[[#This Row],[TURNO]],tblTurnos[TURNO],tblTurnos[ID_TURNO],"")</f>
        <v/>
      </c>
      <c r="H112" s="35" t="e">
        <f t="shared" si="3"/>
        <v>#DIV/0!</v>
      </c>
      <c r="I1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3" spans="1:9" x14ac:dyDescent="0.35">
      <c r="A113" s="2"/>
      <c r="B113" t="str">
        <f>_xlfn.XLOOKUP(tblOcupacao[[#This Row],[AMBIENTE]],tblAmbientes[NOME_AMBIENTE],tblAmbientes[ID],"")</f>
        <v/>
      </c>
      <c r="D113" t="str">
        <f>_xlfn.XLOOKUP(tblOcupacao[[#This Row],[TURNO]],tblTurnos[TURNO],tblTurnos[ID_TURNO],"")</f>
        <v/>
      </c>
      <c r="H113" s="35" t="e">
        <f t="shared" si="3"/>
        <v>#DIV/0!</v>
      </c>
      <c r="I1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4" spans="1:9" x14ac:dyDescent="0.35">
      <c r="A114" s="2"/>
      <c r="B114" t="str">
        <f>_xlfn.XLOOKUP(tblOcupacao[[#This Row],[AMBIENTE]],tblAmbientes[NOME_AMBIENTE],tblAmbientes[ID],"")</f>
        <v/>
      </c>
      <c r="D114" t="str">
        <f>_xlfn.XLOOKUP(tblOcupacao[[#This Row],[TURNO]],tblTurnos[TURNO],tblTurnos[ID_TURNO],"")</f>
        <v/>
      </c>
      <c r="H114" s="35" t="e">
        <f t="shared" si="3"/>
        <v>#DIV/0!</v>
      </c>
      <c r="I1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5" spans="1:9" x14ac:dyDescent="0.35">
      <c r="A115" s="2"/>
      <c r="B115" t="str">
        <f>_xlfn.XLOOKUP(tblOcupacao[[#This Row],[AMBIENTE]],tblAmbientes[NOME_AMBIENTE],tblAmbientes[ID],"")</f>
        <v/>
      </c>
      <c r="D115" t="str">
        <f>_xlfn.XLOOKUP(tblOcupacao[[#This Row],[TURNO]],tblTurnos[TURNO],tblTurnos[ID_TURNO],"")</f>
        <v/>
      </c>
      <c r="H115" s="35" t="e">
        <f t="shared" si="3"/>
        <v>#DIV/0!</v>
      </c>
      <c r="I1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6" spans="1:9" x14ac:dyDescent="0.35">
      <c r="A116" s="2"/>
      <c r="B116" t="str">
        <f>_xlfn.XLOOKUP(tblOcupacao[[#This Row],[AMBIENTE]],tblAmbientes[NOME_AMBIENTE],tblAmbientes[ID],"")</f>
        <v/>
      </c>
      <c r="D116" t="str">
        <f>_xlfn.XLOOKUP(tblOcupacao[[#This Row],[TURNO]],tblTurnos[TURNO],tblTurnos[ID_TURNO],"")</f>
        <v/>
      </c>
      <c r="H116" s="35" t="e">
        <f t="shared" si="3"/>
        <v>#DIV/0!</v>
      </c>
      <c r="I1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7" spans="1:9" x14ac:dyDescent="0.35">
      <c r="A117" s="2"/>
      <c r="B117" t="str">
        <f>_xlfn.XLOOKUP(tblOcupacao[[#This Row],[AMBIENTE]],tblAmbientes[NOME_AMBIENTE],tblAmbientes[ID],"")</f>
        <v/>
      </c>
      <c r="D117" t="str">
        <f>_xlfn.XLOOKUP(tblOcupacao[[#This Row],[TURNO]],tblTurnos[TURNO],tblTurnos[ID_TURNO],"")</f>
        <v/>
      </c>
      <c r="H117" s="35" t="e">
        <f t="shared" si="3"/>
        <v>#DIV/0!</v>
      </c>
      <c r="I1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8" spans="1:9" x14ac:dyDescent="0.35">
      <c r="A118" s="2"/>
      <c r="B118" t="str">
        <f>_xlfn.XLOOKUP(tblOcupacao[[#This Row],[AMBIENTE]],tblAmbientes[NOME_AMBIENTE],tblAmbientes[ID],"")</f>
        <v/>
      </c>
      <c r="D118" t="str">
        <f>_xlfn.XLOOKUP(tblOcupacao[[#This Row],[TURNO]],tblTurnos[TURNO],tblTurnos[ID_TURNO],"")</f>
        <v/>
      </c>
      <c r="H118" s="35" t="e">
        <f t="shared" si="3"/>
        <v>#DIV/0!</v>
      </c>
      <c r="I1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9" spans="1:9" x14ac:dyDescent="0.35">
      <c r="A119" s="2"/>
      <c r="B119" t="str">
        <f>_xlfn.XLOOKUP(tblOcupacao[[#This Row],[AMBIENTE]],tblAmbientes[NOME_AMBIENTE],tblAmbientes[ID],"")</f>
        <v/>
      </c>
      <c r="D119" t="str">
        <f>_xlfn.XLOOKUP(tblOcupacao[[#This Row],[TURNO]],tblTurnos[TURNO],tblTurnos[ID_TURNO],"")</f>
        <v/>
      </c>
      <c r="H119" s="35" t="e">
        <f t="shared" si="3"/>
        <v>#DIV/0!</v>
      </c>
      <c r="I1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0" spans="1:9" x14ac:dyDescent="0.35">
      <c r="A120" s="2"/>
      <c r="B120" t="str">
        <f>_xlfn.XLOOKUP(tblOcupacao[[#This Row],[AMBIENTE]],tblAmbientes[NOME_AMBIENTE],tblAmbientes[ID],"")</f>
        <v/>
      </c>
      <c r="D120" t="str">
        <f>_xlfn.XLOOKUP(tblOcupacao[[#This Row],[TURNO]],tblTurnos[TURNO],tblTurnos[ID_TURNO],"")</f>
        <v/>
      </c>
      <c r="H120" s="35" t="e">
        <f t="shared" si="3"/>
        <v>#DIV/0!</v>
      </c>
      <c r="I1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1" spans="1:9" x14ac:dyDescent="0.35">
      <c r="A121" s="2"/>
      <c r="B121" t="str">
        <f>_xlfn.XLOOKUP(tblOcupacao[[#This Row],[AMBIENTE]],tblAmbientes[NOME_AMBIENTE],tblAmbientes[ID],"")</f>
        <v/>
      </c>
      <c r="D121" t="str">
        <f>_xlfn.XLOOKUP(tblOcupacao[[#This Row],[TURNO]],tblTurnos[TURNO],tblTurnos[ID_TURNO],"")</f>
        <v/>
      </c>
      <c r="H121" s="35" t="e">
        <f t="shared" si="3"/>
        <v>#DIV/0!</v>
      </c>
      <c r="I1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2" spans="1:9" x14ac:dyDescent="0.35">
      <c r="A122" s="2"/>
      <c r="B122" t="str">
        <f>_xlfn.XLOOKUP(tblOcupacao[[#This Row],[AMBIENTE]],tblAmbientes[NOME_AMBIENTE],tblAmbientes[ID],"")</f>
        <v/>
      </c>
      <c r="D122" t="str">
        <f>_xlfn.XLOOKUP(tblOcupacao[[#This Row],[TURNO]],tblTurnos[TURNO],tblTurnos[ID_TURNO],"")</f>
        <v/>
      </c>
      <c r="H122" s="35" t="e">
        <f t="shared" si="3"/>
        <v>#DIV/0!</v>
      </c>
      <c r="I1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3" spans="1:9" x14ac:dyDescent="0.35">
      <c r="A123" s="2"/>
      <c r="B123" t="str">
        <f>_xlfn.XLOOKUP(tblOcupacao[[#This Row],[AMBIENTE]],tblAmbientes[NOME_AMBIENTE],tblAmbientes[ID],"")</f>
        <v/>
      </c>
      <c r="D123" t="str">
        <f>_xlfn.XLOOKUP(tblOcupacao[[#This Row],[TURNO]],tblTurnos[TURNO],tblTurnos[ID_TURNO],"")</f>
        <v/>
      </c>
      <c r="H123" s="35" t="e">
        <f t="shared" si="3"/>
        <v>#DIV/0!</v>
      </c>
      <c r="I1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4" spans="1:9" x14ac:dyDescent="0.35">
      <c r="A124" s="2"/>
      <c r="B124" t="str">
        <f>_xlfn.XLOOKUP(tblOcupacao[[#This Row],[AMBIENTE]],tblAmbientes[NOME_AMBIENTE],tblAmbientes[ID],"")</f>
        <v/>
      </c>
      <c r="D124" t="str">
        <f>_xlfn.XLOOKUP(tblOcupacao[[#This Row],[TURNO]],tblTurnos[TURNO],tblTurnos[ID_TURNO],"")</f>
        <v/>
      </c>
      <c r="H124" s="35" t="e">
        <f t="shared" si="3"/>
        <v>#DIV/0!</v>
      </c>
      <c r="I1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5" spans="1:9" x14ac:dyDescent="0.35">
      <c r="A125" s="2"/>
      <c r="B125" t="str">
        <f>_xlfn.XLOOKUP(tblOcupacao[[#This Row],[AMBIENTE]],tblAmbientes[NOME_AMBIENTE],tblAmbientes[ID],"")</f>
        <v/>
      </c>
      <c r="D125" t="str">
        <f>_xlfn.XLOOKUP(tblOcupacao[[#This Row],[TURNO]],tblTurnos[TURNO],tblTurnos[ID_TURNO],"")</f>
        <v/>
      </c>
      <c r="H125" s="35" t="e">
        <f t="shared" si="3"/>
        <v>#DIV/0!</v>
      </c>
      <c r="I1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6" spans="1:9" x14ac:dyDescent="0.35">
      <c r="A126" s="2"/>
      <c r="B126" t="str">
        <f>_xlfn.XLOOKUP(tblOcupacao[[#This Row],[AMBIENTE]],tblAmbientes[NOME_AMBIENTE],tblAmbientes[ID],"")</f>
        <v/>
      </c>
      <c r="D126" t="str">
        <f>_xlfn.XLOOKUP(tblOcupacao[[#This Row],[TURNO]],tblTurnos[TURNO],tblTurnos[ID_TURNO],"")</f>
        <v/>
      </c>
      <c r="H126" s="35" t="e">
        <f t="shared" si="3"/>
        <v>#DIV/0!</v>
      </c>
      <c r="I1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7" spans="1:9" x14ac:dyDescent="0.35">
      <c r="A127" s="2"/>
      <c r="B127" t="str">
        <f>_xlfn.XLOOKUP(tblOcupacao[[#This Row],[AMBIENTE]],tblAmbientes[NOME_AMBIENTE],tblAmbientes[ID],"")</f>
        <v/>
      </c>
      <c r="D127" t="str">
        <f>_xlfn.XLOOKUP(tblOcupacao[[#This Row],[TURNO]],tblTurnos[TURNO],tblTurnos[ID_TURNO],"")</f>
        <v/>
      </c>
      <c r="H127" s="35" t="e">
        <f t="shared" si="3"/>
        <v>#DIV/0!</v>
      </c>
      <c r="I1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8" spans="1:9" x14ac:dyDescent="0.35">
      <c r="A128" s="2"/>
      <c r="B128" t="str">
        <f>_xlfn.XLOOKUP(tblOcupacao[[#This Row],[AMBIENTE]],tblAmbientes[NOME_AMBIENTE],tblAmbientes[ID],"")</f>
        <v/>
      </c>
      <c r="D128" t="str">
        <f>_xlfn.XLOOKUP(tblOcupacao[[#This Row],[TURNO]],tblTurnos[TURNO],tblTurnos[ID_TURNO],"")</f>
        <v/>
      </c>
      <c r="H128" s="35" t="e">
        <f t="shared" si="3"/>
        <v>#DIV/0!</v>
      </c>
      <c r="I1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9" spans="1:9" x14ac:dyDescent="0.35">
      <c r="A129" s="2"/>
      <c r="B129" t="str">
        <f>_xlfn.XLOOKUP(tblOcupacao[[#This Row],[AMBIENTE]],tblAmbientes[NOME_AMBIENTE],tblAmbientes[ID],"")</f>
        <v/>
      </c>
      <c r="D129" t="str">
        <f>_xlfn.XLOOKUP(tblOcupacao[[#This Row],[TURNO]],tblTurnos[TURNO],tblTurnos[ID_TURNO],"")</f>
        <v/>
      </c>
      <c r="H129" s="35" t="e">
        <f t="shared" si="3"/>
        <v>#DIV/0!</v>
      </c>
      <c r="I1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0" spans="1:9" x14ac:dyDescent="0.35">
      <c r="A130" s="2"/>
      <c r="B130" t="str">
        <f>_xlfn.XLOOKUP(tblOcupacao[[#This Row],[AMBIENTE]],tblAmbientes[NOME_AMBIENTE],tblAmbientes[ID],"")</f>
        <v/>
      </c>
      <c r="D130" t="str">
        <f>_xlfn.XLOOKUP(tblOcupacao[[#This Row],[TURNO]],tblTurnos[TURNO],tblTurnos[ID_TURNO],"")</f>
        <v/>
      </c>
      <c r="H130" s="35" t="e">
        <f t="shared" si="3"/>
        <v>#DIV/0!</v>
      </c>
      <c r="I1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1" spans="1:9" x14ac:dyDescent="0.35">
      <c r="A131" s="2"/>
      <c r="B131" t="str">
        <f>_xlfn.XLOOKUP(tblOcupacao[[#This Row],[AMBIENTE]],tblAmbientes[NOME_AMBIENTE],tblAmbientes[ID],"")</f>
        <v/>
      </c>
      <c r="D131" t="str">
        <f>_xlfn.XLOOKUP(tblOcupacao[[#This Row],[TURNO]],tblTurnos[TURNO],tblTurnos[ID_TURNO],"")</f>
        <v/>
      </c>
      <c r="H131" s="35" t="e">
        <f t="shared" si="3"/>
        <v>#DIV/0!</v>
      </c>
      <c r="I1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2" spans="1:9" x14ac:dyDescent="0.35">
      <c r="A132" s="2"/>
      <c r="B132" t="str">
        <f>_xlfn.XLOOKUP(tblOcupacao[[#This Row],[AMBIENTE]],tblAmbientes[NOME_AMBIENTE],tblAmbientes[ID],"")</f>
        <v/>
      </c>
      <c r="D132" t="str">
        <f>_xlfn.XLOOKUP(tblOcupacao[[#This Row],[TURNO]],tblTurnos[TURNO],tblTurnos[ID_TURNO],"")</f>
        <v/>
      </c>
      <c r="H132" s="35" t="e">
        <f t="shared" si="3"/>
        <v>#DIV/0!</v>
      </c>
      <c r="I1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3" spans="1:9" x14ac:dyDescent="0.35">
      <c r="A133" s="2"/>
      <c r="B133" t="str">
        <f>_xlfn.XLOOKUP(tblOcupacao[[#This Row],[AMBIENTE]],tblAmbientes[NOME_AMBIENTE],tblAmbientes[ID],"")</f>
        <v/>
      </c>
      <c r="D133" t="str">
        <f>_xlfn.XLOOKUP(tblOcupacao[[#This Row],[TURNO]],tblTurnos[TURNO],tblTurnos[ID_TURNO],"")</f>
        <v/>
      </c>
      <c r="H133" s="35" t="e">
        <f t="shared" si="3"/>
        <v>#DIV/0!</v>
      </c>
      <c r="I1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4" spans="1:9" x14ac:dyDescent="0.35">
      <c r="A134" s="2"/>
      <c r="B134" t="str">
        <f>_xlfn.XLOOKUP(tblOcupacao[[#This Row],[AMBIENTE]],tblAmbientes[NOME_AMBIENTE],tblAmbientes[ID],"")</f>
        <v/>
      </c>
      <c r="D134" t="str">
        <f>_xlfn.XLOOKUP(tblOcupacao[[#This Row],[TURNO]],tblTurnos[TURNO],tblTurnos[ID_TURNO],"")</f>
        <v/>
      </c>
      <c r="H134" s="35" t="e">
        <f t="shared" si="3"/>
        <v>#DIV/0!</v>
      </c>
      <c r="I1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5" spans="1:9" x14ac:dyDescent="0.35">
      <c r="A135" s="2"/>
      <c r="B135" t="str">
        <f>_xlfn.XLOOKUP(tblOcupacao[[#This Row],[AMBIENTE]],tblAmbientes[NOME_AMBIENTE],tblAmbientes[ID],"")</f>
        <v/>
      </c>
      <c r="D135" t="str">
        <f>_xlfn.XLOOKUP(tblOcupacao[[#This Row],[TURNO]],tblTurnos[TURNO],tblTurnos[ID_TURNO],"")</f>
        <v/>
      </c>
      <c r="H135" s="35" t="e">
        <f t="shared" si="3"/>
        <v>#DIV/0!</v>
      </c>
      <c r="I1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6" spans="1:9" x14ac:dyDescent="0.35">
      <c r="A136" s="2"/>
      <c r="B136" t="str">
        <f>_xlfn.XLOOKUP(tblOcupacao[[#This Row],[AMBIENTE]],tblAmbientes[NOME_AMBIENTE],tblAmbientes[ID],"")</f>
        <v/>
      </c>
      <c r="D136" t="str">
        <f>_xlfn.XLOOKUP(tblOcupacao[[#This Row],[TURNO]],tblTurnos[TURNO],tblTurnos[ID_TURNO],"")</f>
        <v/>
      </c>
      <c r="H136" s="35" t="e">
        <f t="shared" si="3"/>
        <v>#DIV/0!</v>
      </c>
      <c r="I1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7" spans="1:9" x14ac:dyDescent="0.35">
      <c r="A137" s="2"/>
      <c r="B137" t="str">
        <f>_xlfn.XLOOKUP(tblOcupacao[[#This Row],[AMBIENTE]],tblAmbientes[NOME_AMBIENTE],tblAmbientes[ID],"")</f>
        <v/>
      </c>
      <c r="D137" t="str">
        <f>_xlfn.XLOOKUP(tblOcupacao[[#This Row],[TURNO]],tblTurnos[TURNO],tblTurnos[ID_TURNO],"")</f>
        <v/>
      </c>
      <c r="H137" s="35" t="e">
        <f t="shared" si="3"/>
        <v>#DIV/0!</v>
      </c>
      <c r="I1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8" spans="1:9" x14ac:dyDescent="0.35">
      <c r="A138" s="2"/>
      <c r="B138" t="str">
        <f>_xlfn.XLOOKUP(tblOcupacao[[#This Row],[AMBIENTE]],tblAmbientes[NOME_AMBIENTE],tblAmbientes[ID],"")</f>
        <v/>
      </c>
      <c r="D138" t="str">
        <f>_xlfn.XLOOKUP(tblOcupacao[[#This Row],[TURNO]],tblTurnos[TURNO],tblTurnos[ID_TURNO],"")</f>
        <v/>
      </c>
      <c r="H138" s="35" t="e">
        <f t="shared" si="3"/>
        <v>#DIV/0!</v>
      </c>
      <c r="I1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9" spans="1:9" x14ac:dyDescent="0.35">
      <c r="A139" s="2"/>
      <c r="B139" t="str">
        <f>_xlfn.XLOOKUP(tblOcupacao[[#This Row],[AMBIENTE]],tblAmbientes[NOME_AMBIENTE],tblAmbientes[ID],"")</f>
        <v/>
      </c>
      <c r="D139" t="str">
        <f>_xlfn.XLOOKUP(tblOcupacao[[#This Row],[TURNO]],tblTurnos[TURNO],tblTurnos[ID_TURNO],"")</f>
        <v/>
      </c>
      <c r="H139" s="35" t="e">
        <f t="shared" si="3"/>
        <v>#DIV/0!</v>
      </c>
      <c r="I1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0" spans="1:9" x14ac:dyDescent="0.35">
      <c r="A140" s="2"/>
      <c r="B140" t="str">
        <f>_xlfn.XLOOKUP(tblOcupacao[[#This Row],[AMBIENTE]],tblAmbientes[NOME_AMBIENTE],tblAmbientes[ID],"")</f>
        <v/>
      </c>
      <c r="D140" t="str">
        <f>_xlfn.XLOOKUP(tblOcupacao[[#This Row],[TURNO]],tblTurnos[TURNO],tblTurnos[ID_TURNO],"")</f>
        <v/>
      </c>
      <c r="H140" s="35" t="e">
        <f t="shared" si="3"/>
        <v>#DIV/0!</v>
      </c>
      <c r="I1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1" spans="1:9" x14ac:dyDescent="0.35">
      <c r="A141" s="2"/>
      <c r="B141" t="str">
        <f>_xlfn.XLOOKUP(tblOcupacao[[#This Row],[AMBIENTE]],tblAmbientes[NOME_AMBIENTE],tblAmbientes[ID],"")</f>
        <v/>
      </c>
      <c r="D141" t="str">
        <f>_xlfn.XLOOKUP(tblOcupacao[[#This Row],[TURNO]],tblTurnos[TURNO],tblTurnos[ID_TURNO],"")</f>
        <v/>
      </c>
      <c r="H141" s="35" t="e">
        <f t="shared" si="3"/>
        <v>#DIV/0!</v>
      </c>
      <c r="I1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2" spans="1:9" x14ac:dyDescent="0.35">
      <c r="A142" s="2"/>
      <c r="B142" t="str">
        <f>_xlfn.XLOOKUP(tblOcupacao[[#This Row],[AMBIENTE]],tblAmbientes[NOME_AMBIENTE],tblAmbientes[ID],"")</f>
        <v/>
      </c>
      <c r="D142" t="str">
        <f>_xlfn.XLOOKUP(tblOcupacao[[#This Row],[TURNO]],tblTurnos[TURNO],tblTurnos[ID_TURNO],"")</f>
        <v/>
      </c>
      <c r="H142" s="35" t="e">
        <f t="shared" si="3"/>
        <v>#DIV/0!</v>
      </c>
      <c r="I1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3" spans="1:9" x14ac:dyDescent="0.35">
      <c r="A143" s="2"/>
      <c r="B143" t="str">
        <f>_xlfn.XLOOKUP(tblOcupacao[[#This Row],[AMBIENTE]],tblAmbientes[NOME_AMBIENTE],tblAmbientes[ID],"")</f>
        <v/>
      </c>
      <c r="D143" t="str">
        <f>_xlfn.XLOOKUP(tblOcupacao[[#This Row],[TURNO]],tblTurnos[TURNO],tblTurnos[ID_TURNO],"")</f>
        <v/>
      </c>
      <c r="H143" s="35" t="e">
        <f t="shared" si="3"/>
        <v>#DIV/0!</v>
      </c>
      <c r="I1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4" spans="1:9" x14ac:dyDescent="0.35">
      <c r="A144" s="2"/>
      <c r="B144" t="str">
        <f>_xlfn.XLOOKUP(tblOcupacao[[#This Row],[AMBIENTE]],tblAmbientes[NOME_AMBIENTE],tblAmbientes[ID],"")</f>
        <v/>
      </c>
      <c r="D144" t="str">
        <f>_xlfn.XLOOKUP(tblOcupacao[[#This Row],[TURNO]],tblTurnos[TURNO],tblTurnos[ID_TURNO],"")</f>
        <v/>
      </c>
      <c r="H144" s="35" t="e">
        <f t="shared" si="3"/>
        <v>#DIV/0!</v>
      </c>
      <c r="I1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5" spans="1:9" x14ac:dyDescent="0.35">
      <c r="A145" s="2"/>
      <c r="B145" t="str">
        <f>_xlfn.XLOOKUP(tblOcupacao[[#This Row],[AMBIENTE]],tblAmbientes[NOME_AMBIENTE],tblAmbientes[ID],"")</f>
        <v/>
      </c>
      <c r="D145" t="str">
        <f>_xlfn.XLOOKUP(tblOcupacao[[#This Row],[TURNO]],tblTurnos[TURNO],tblTurnos[ID_TURNO],"")</f>
        <v/>
      </c>
      <c r="H145" s="35" t="e">
        <f t="shared" si="3"/>
        <v>#DIV/0!</v>
      </c>
      <c r="I1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6" spans="1:9" x14ac:dyDescent="0.35">
      <c r="A146" s="2"/>
      <c r="B146" t="str">
        <f>_xlfn.XLOOKUP(tblOcupacao[[#This Row],[AMBIENTE]],tblAmbientes[NOME_AMBIENTE],tblAmbientes[ID],"")</f>
        <v/>
      </c>
      <c r="D146" t="str">
        <f>_xlfn.XLOOKUP(tblOcupacao[[#This Row],[TURNO]],tblTurnos[TURNO],tblTurnos[ID_TURNO],"")</f>
        <v/>
      </c>
      <c r="H146" s="35" t="e">
        <f t="shared" si="3"/>
        <v>#DIV/0!</v>
      </c>
      <c r="I1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7" spans="1:9" x14ac:dyDescent="0.35">
      <c r="A147" s="2"/>
      <c r="B147" t="str">
        <f>_xlfn.XLOOKUP(tblOcupacao[[#This Row],[AMBIENTE]],tblAmbientes[NOME_AMBIENTE],tblAmbientes[ID],"")</f>
        <v/>
      </c>
      <c r="D147" t="str">
        <f>_xlfn.XLOOKUP(tblOcupacao[[#This Row],[TURNO]],tblTurnos[TURNO],tblTurnos[ID_TURNO],"")</f>
        <v/>
      </c>
      <c r="H147" s="35" t="e">
        <f t="shared" si="3"/>
        <v>#DIV/0!</v>
      </c>
      <c r="I1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8" spans="1:9" x14ac:dyDescent="0.35">
      <c r="A148" s="2"/>
      <c r="B148" t="str">
        <f>_xlfn.XLOOKUP(tblOcupacao[[#This Row],[AMBIENTE]],tblAmbientes[NOME_AMBIENTE],tblAmbientes[ID],"")</f>
        <v/>
      </c>
      <c r="D148" t="str">
        <f>_xlfn.XLOOKUP(tblOcupacao[[#This Row],[TURNO]],tblTurnos[TURNO],tblTurnos[ID_TURNO],"")</f>
        <v/>
      </c>
      <c r="H148" s="35" t="e">
        <f t="shared" si="3"/>
        <v>#DIV/0!</v>
      </c>
      <c r="I1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9" spans="1:9" x14ac:dyDescent="0.35">
      <c r="A149" s="2"/>
      <c r="B149" t="str">
        <f>_xlfn.XLOOKUP(tblOcupacao[[#This Row],[AMBIENTE]],tblAmbientes[NOME_AMBIENTE],tblAmbientes[ID],"")</f>
        <v/>
      </c>
      <c r="D149" t="str">
        <f>_xlfn.XLOOKUP(tblOcupacao[[#This Row],[TURNO]],tblTurnos[TURNO],tblTurnos[ID_TURNO],"")</f>
        <v/>
      </c>
      <c r="H149" s="35" t="e">
        <f t="shared" si="3"/>
        <v>#DIV/0!</v>
      </c>
      <c r="I1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0" spans="1:9" x14ac:dyDescent="0.35">
      <c r="A150" s="2"/>
      <c r="B150" t="str">
        <f>_xlfn.XLOOKUP(tblOcupacao[[#This Row],[AMBIENTE]],tblAmbientes[NOME_AMBIENTE],tblAmbientes[ID],"")</f>
        <v/>
      </c>
      <c r="D150" t="str">
        <f>_xlfn.XLOOKUP(tblOcupacao[[#This Row],[TURNO]],tblTurnos[TURNO],tblTurnos[ID_TURNO],"")</f>
        <v/>
      </c>
      <c r="H150" s="35" t="e">
        <f t="shared" ref="H150:H213" si="4">$F150/$G150</f>
        <v>#DIV/0!</v>
      </c>
      <c r="I1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1" spans="1:9" x14ac:dyDescent="0.35">
      <c r="A151" s="2"/>
      <c r="B151" t="str">
        <f>_xlfn.XLOOKUP(tblOcupacao[[#This Row],[AMBIENTE]],tblAmbientes[NOME_AMBIENTE],tblAmbientes[ID],"")</f>
        <v/>
      </c>
      <c r="D151" t="str">
        <f>_xlfn.XLOOKUP(tblOcupacao[[#This Row],[TURNO]],tblTurnos[TURNO],tblTurnos[ID_TURNO],"")</f>
        <v/>
      </c>
      <c r="H151" s="35" t="e">
        <f t="shared" si="4"/>
        <v>#DIV/0!</v>
      </c>
      <c r="I1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2" spans="1:9" x14ac:dyDescent="0.35">
      <c r="A152" s="2"/>
      <c r="B152" t="str">
        <f>_xlfn.XLOOKUP(tblOcupacao[[#This Row],[AMBIENTE]],tblAmbientes[NOME_AMBIENTE],tblAmbientes[ID],"")</f>
        <v/>
      </c>
      <c r="D152" t="str">
        <f>_xlfn.XLOOKUP(tblOcupacao[[#This Row],[TURNO]],tblTurnos[TURNO],tblTurnos[ID_TURNO],"")</f>
        <v/>
      </c>
      <c r="H152" s="35" t="e">
        <f t="shared" si="4"/>
        <v>#DIV/0!</v>
      </c>
      <c r="I1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3" spans="1:9" x14ac:dyDescent="0.35">
      <c r="A153" s="2"/>
      <c r="B153" t="str">
        <f>_xlfn.XLOOKUP(tblOcupacao[[#This Row],[AMBIENTE]],tblAmbientes[NOME_AMBIENTE],tblAmbientes[ID],"")</f>
        <v/>
      </c>
      <c r="D153" t="str">
        <f>_xlfn.XLOOKUP(tblOcupacao[[#This Row],[TURNO]],tblTurnos[TURNO],tblTurnos[ID_TURNO],"")</f>
        <v/>
      </c>
      <c r="H153" s="35" t="e">
        <f t="shared" si="4"/>
        <v>#DIV/0!</v>
      </c>
      <c r="I1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4" spans="1:9" x14ac:dyDescent="0.35">
      <c r="A154" s="2"/>
      <c r="B154" t="str">
        <f>_xlfn.XLOOKUP(tblOcupacao[[#This Row],[AMBIENTE]],tblAmbientes[NOME_AMBIENTE],tblAmbientes[ID],"")</f>
        <v/>
      </c>
      <c r="D154" t="str">
        <f>_xlfn.XLOOKUP(tblOcupacao[[#This Row],[TURNO]],tblTurnos[TURNO],tblTurnos[ID_TURNO],"")</f>
        <v/>
      </c>
      <c r="H154" s="35" t="e">
        <f t="shared" si="4"/>
        <v>#DIV/0!</v>
      </c>
      <c r="I1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5" spans="1:9" x14ac:dyDescent="0.35">
      <c r="A155" s="2"/>
      <c r="B155" t="str">
        <f>_xlfn.XLOOKUP(tblOcupacao[[#This Row],[AMBIENTE]],tblAmbientes[NOME_AMBIENTE],tblAmbientes[ID],"")</f>
        <v/>
      </c>
      <c r="D155" t="str">
        <f>_xlfn.XLOOKUP(tblOcupacao[[#This Row],[TURNO]],tblTurnos[TURNO],tblTurnos[ID_TURNO],"")</f>
        <v/>
      </c>
      <c r="H155" s="35" t="e">
        <f t="shared" si="4"/>
        <v>#DIV/0!</v>
      </c>
      <c r="I1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6" spans="1:9" x14ac:dyDescent="0.35">
      <c r="A156" s="2"/>
      <c r="B156" t="str">
        <f>_xlfn.XLOOKUP(tblOcupacao[[#This Row],[AMBIENTE]],tblAmbientes[NOME_AMBIENTE],tblAmbientes[ID],"")</f>
        <v/>
      </c>
      <c r="D156" t="str">
        <f>_xlfn.XLOOKUP(tblOcupacao[[#This Row],[TURNO]],tblTurnos[TURNO],tblTurnos[ID_TURNO],"")</f>
        <v/>
      </c>
      <c r="H156" s="35" t="e">
        <f t="shared" si="4"/>
        <v>#DIV/0!</v>
      </c>
      <c r="I1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7" spans="1:9" x14ac:dyDescent="0.35">
      <c r="A157" s="2"/>
      <c r="B157" t="str">
        <f>_xlfn.XLOOKUP(tblOcupacao[[#This Row],[AMBIENTE]],tblAmbientes[NOME_AMBIENTE],tblAmbientes[ID],"")</f>
        <v/>
      </c>
      <c r="D157" t="str">
        <f>_xlfn.XLOOKUP(tblOcupacao[[#This Row],[TURNO]],tblTurnos[TURNO],tblTurnos[ID_TURNO],"")</f>
        <v/>
      </c>
      <c r="H157" s="35" t="e">
        <f t="shared" si="4"/>
        <v>#DIV/0!</v>
      </c>
      <c r="I1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8" spans="1:9" x14ac:dyDescent="0.35">
      <c r="A158" s="2"/>
      <c r="B158" t="str">
        <f>_xlfn.XLOOKUP(tblOcupacao[[#This Row],[AMBIENTE]],tblAmbientes[NOME_AMBIENTE],tblAmbientes[ID],"")</f>
        <v/>
      </c>
      <c r="D158" t="str">
        <f>_xlfn.XLOOKUP(tblOcupacao[[#This Row],[TURNO]],tblTurnos[TURNO],tblTurnos[ID_TURNO],"")</f>
        <v/>
      </c>
      <c r="H158" s="35" t="e">
        <f t="shared" si="4"/>
        <v>#DIV/0!</v>
      </c>
      <c r="I1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9" spans="1:9" x14ac:dyDescent="0.35">
      <c r="A159" s="2"/>
      <c r="B159" t="str">
        <f>_xlfn.XLOOKUP(tblOcupacao[[#This Row],[AMBIENTE]],tblAmbientes[NOME_AMBIENTE],tblAmbientes[ID],"")</f>
        <v/>
      </c>
      <c r="D159" t="str">
        <f>_xlfn.XLOOKUP(tblOcupacao[[#This Row],[TURNO]],tblTurnos[TURNO],tblTurnos[ID_TURNO],"")</f>
        <v/>
      </c>
      <c r="H159" s="35" t="e">
        <f t="shared" si="4"/>
        <v>#DIV/0!</v>
      </c>
      <c r="I1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0" spans="1:9" x14ac:dyDescent="0.35">
      <c r="A160" s="2"/>
      <c r="B160" t="str">
        <f>_xlfn.XLOOKUP(tblOcupacao[[#This Row],[AMBIENTE]],tblAmbientes[NOME_AMBIENTE],tblAmbientes[ID],"")</f>
        <v/>
      </c>
      <c r="D160" t="str">
        <f>_xlfn.XLOOKUP(tblOcupacao[[#This Row],[TURNO]],tblTurnos[TURNO],tblTurnos[ID_TURNO],"")</f>
        <v/>
      </c>
      <c r="H160" s="35" t="e">
        <f t="shared" si="4"/>
        <v>#DIV/0!</v>
      </c>
      <c r="I1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1" spans="1:9" x14ac:dyDescent="0.35">
      <c r="A161" s="2"/>
      <c r="B161" t="str">
        <f>_xlfn.XLOOKUP(tblOcupacao[[#This Row],[AMBIENTE]],tblAmbientes[NOME_AMBIENTE],tblAmbientes[ID],"")</f>
        <v/>
      </c>
      <c r="D161" t="str">
        <f>_xlfn.XLOOKUP(tblOcupacao[[#This Row],[TURNO]],tblTurnos[TURNO],tblTurnos[ID_TURNO],"")</f>
        <v/>
      </c>
      <c r="H161" s="35" t="e">
        <f t="shared" si="4"/>
        <v>#DIV/0!</v>
      </c>
      <c r="I1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2" spans="1:9" x14ac:dyDescent="0.35">
      <c r="A162" s="2"/>
      <c r="B162" t="str">
        <f>_xlfn.XLOOKUP(tblOcupacao[[#This Row],[AMBIENTE]],tblAmbientes[NOME_AMBIENTE],tblAmbientes[ID],"")</f>
        <v/>
      </c>
      <c r="D162" t="str">
        <f>_xlfn.XLOOKUP(tblOcupacao[[#This Row],[TURNO]],tblTurnos[TURNO],tblTurnos[ID_TURNO],"")</f>
        <v/>
      </c>
      <c r="H162" s="35" t="e">
        <f t="shared" si="4"/>
        <v>#DIV/0!</v>
      </c>
      <c r="I1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3" spans="1:9" x14ac:dyDescent="0.35">
      <c r="A163" s="2"/>
      <c r="B163" t="str">
        <f>_xlfn.XLOOKUP(tblOcupacao[[#This Row],[AMBIENTE]],tblAmbientes[NOME_AMBIENTE],tblAmbientes[ID],"")</f>
        <v/>
      </c>
      <c r="D163" t="str">
        <f>_xlfn.XLOOKUP(tblOcupacao[[#This Row],[TURNO]],tblTurnos[TURNO],tblTurnos[ID_TURNO],"")</f>
        <v/>
      </c>
      <c r="H163" s="35" t="e">
        <f t="shared" si="4"/>
        <v>#DIV/0!</v>
      </c>
      <c r="I1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4" spans="1:9" x14ac:dyDescent="0.35">
      <c r="A164" s="2"/>
      <c r="B164" t="str">
        <f>_xlfn.XLOOKUP(tblOcupacao[[#This Row],[AMBIENTE]],tblAmbientes[NOME_AMBIENTE],tblAmbientes[ID],"")</f>
        <v/>
      </c>
      <c r="D164" t="str">
        <f>_xlfn.XLOOKUP(tblOcupacao[[#This Row],[TURNO]],tblTurnos[TURNO],tblTurnos[ID_TURNO],"")</f>
        <v/>
      </c>
      <c r="H164" s="35" t="e">
        <f t="shared" si="4"/>
        <v>#DIV/0!</v>
      </c>
      <c r="I1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5" spans="1:9" x14ac:dyDescent="0.35">
      <c r="A165" s="2"/>
      <c r="B165" t="str">
        <f>_xlfn.XLOOKUP(tblOcupacao[[#This Row],[AMBIENTE]],tblAmbientes[NOME_AMBIENTE],tblAmbientes[ID],"")</f>
        <v/>
      </c>
      <c r="D165" t="str">
        <f>_xlfn.XLOOKUP(tblOcupacao[[#This Row],[TURNO]],tblTurnos[TURNO],tblTurnos[ID_TURNO],"")</f>
        <v/>
      </c>
      <c r="H165" s="35" t="e">
        <f t="shared" si="4"/>
        <v>#DIV/0!</v>
      </c>
      <c r="I1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6" spans="1:9" x14ac:dyDescent="0.35">
      <c r="A166" s="2"/>
      <c r="B166" t="str">
        <f>_xlfn.XLOOKUP(tblOcupacao[[#This Row],[AMBIENTE]],tblAmbientes[NOME_AMBIENTE],tblAmbientes[ID],"")</f>
        <v/>
      </c>
      <c r="D166" t="str">
        <f>_xlfn.XLOOKUP(tblOcupacao[[#This Row],[TURNO]],tblTurnos[TURNO],tblTurnos[ID_TURNO],"")</f>
        <v/>
      </c>
      <c r="H166" s="35" t="e">
        <f t="shared" si="4"/>
        <v>#DIV/0!</v>
      </c>
      <c r="I1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7" spans="1:9" x14ac:dyDescent="0.35">
      <c r="A167" s="2"/>
      <c r="B167" t="str">
        <f>_xlfn.XLOOKUP(tblOcupacao[[#This Row],[AMBIENTE]],tblAmbientes[NOME_AMBIENTE],tblAmbientes[ID],"")</f>
        <v/>
      </c>
      <c r="D167" t="str">
        <f>_xlfn.XLOOKUP(tblOcupacao[[#This Row],[TURNO]],tblTurnos[TURNO],tblTurnos[ID_TURNO],"")</f>
        <v/>
      </c>
      <c r="H167" s="35" t="e">
        <f t="shared" si="4"/>
        <v>#DIV/0!</v>
      </c>
      <c r="I1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8" spans="1:9" x14ac:dyDescent="0.35">
      <c r="A168" s="2"/>
      <c r="B168" t="str">
        <f>_xlfn.XLOOKUP(tblOcupacao[[#This Row],[AMBIENTE]],tblAmbientes[NOME_AMBIENTE],tblAmbientes[ID],"")</f>
        <v/>
      </c>
      <c r="D168" t="str">
        <f>_xlfn.XLOOKUP(tblOcupacao[[#This Row],[TURNO]],tblTurnos[TURNO],tblTurnos[ID_TURNO],"")</f>
        <v/>
      </c>
      <c r="H168" s="35" t="e">
        <f t="shared" si="4"/>
        <v>#DIV/0!</v>
      </c>
      <c r="I1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9" spans="1:9" x14ac:dyDescent="0.35">
      <c r="A169" s="2"/>
      <c r="B169" t="str">
        <f>_xlfn.XLOOKUP(tblOcupacao[[#This Row],[AMBIENTE]],tblAmbientes[NOME_AMBIENTE],tblAmbientes[ID],"")</f>
        <v/>
      </c>
      <c r="D169" t="str">
        <f>_xlfn.XLOOKUP(tblOcupacao[[#This Row],[TURNO]],tblTurnos[TURNO],tblTurnos[ID_TURNO],"")</f>
        <v/>
      </c>
      <c r="H169" s="35" t="e">
        <f t="shared" si="4"/>
        <v>#DIV/0!</v>
      </c>
      <c r="I1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0" spans="1:9" x14ac:dyDescent="0.35">
      <c r="A170" s="2"/>
      <c r="B170" t="str">
        <f>_xlfn.XLOOKUP(tblOcupacao[[#This Row],[AMBIENTE]],tblAmbientes[NOME_AMBIENTE],tblAmbientes[ID],"")</f>
        <v/>
      </c>
      <c r="D170" t="str">
        <f>_xlfn.XLOOKUP(tblOcupacao[[#This Row],[TURNO]],tblTurnos[TURNO],tblTurnos[ID_TURNO],"")</f>
        <v/>
      </c>
      <c r="H170" s="35" t="e">
        <f t="shared" si="4"/>
        <v>#DIV/0!</v>
      </c>
      <c r="I1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1" spans="1:9" x14ac:dyDescent="0.35">
      <c r="A171" s="2"/>
      <c r="B171" t="str">
        <f>_xlfn.XLOOKUP(tblOcupacao[[#This Row],[AMBIENTE]],tblAmbientes[NOME_AMBIENTE],tblAmbientes[ID],"")</f>
        <v/>
      </c>
      <c r="D171" t="str">
        <f>_xlfn.XLOOKUP(tblOcupacao[[#This Row],[TURNO]],tblTurnos[TURNO],tblTurnos[ID_TURNO],"")</f>
        <v/>
      </c>
      <c r="H171" s="35" t="e">
        <f t="shared" si="4"/>
        <v>#DIV/0!</v>
      </c>
      <c r="I1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2" spans="1:9" x14ac:dyDescent="0.35">
      <c r="A172" s="2"/>
      <c r="B172" t="str">
        <f>_xlfn.XLOOKUP(tblOcupacao[[#This Row],[AMBIENTE]],tblAmbientes[NOME_AMBIENTE],tblAmbientes[ID],"")</f>
        <v/>
      </c>
      <c r="D172" t="str">
        <f>_xlfn.XLOOKUP(tblOcupacao[[#This Row],[TURNO]],tblTurnos[TURNO],tblTurnos[ID_TURNO],"")</f>
        <v/>
      </c>
      <c r="H172" s="35" t="e">
        <f t="shared" si="4"/>
        <v>#DIV/0!</v>
      </c>
      <c r="I1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3" spans="1:9" x14ac:dyDescent="0.35">
      <c r="A173" s="2"/>
      <c r="B173" t="str">
        <f>_xlfn.XLOOKUP(tblOcupacao[[#This Row],[AMBIENTE]],tblAmbientes[NOME_AMBIENTE],tblAmbientes[ID],"")</f>
        <v/>
      </c>
      <c r="D173" t="str">
        <f>_xlfn.XLOOKUP(tblOcupacao[[#This Row],[TURNO]],tblTurnos[TURNO],tblTurnos[ID_TURNO],"")</f>
        <v/>
      </c>
      <c r="H173" s="35" t="e">
        <f t="shared" si="4"/>
        <v>#DIV/0!</v>
      </c>
      <c r="I1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4" spans="1:9" x14ac:dyDescent="0.35">
      <c r="A174" s="2"/>
      <c r="B174" t="str">
        <f>_xlfn.XLOOKUP(tblOcupacao[[#This Row],[AMBIENTE]],tblAmbientes[NOME_AMBIENTE],tblAmbientes[ID],"")</f>
        <v/>
      </c>
      <c r="D174" t="str">
        <f>_xlfn.XLOOKUP(tblOcupacao[[#This Row],[TURNO]],tblTurnos[TURNO],tblTurnos[ID_TURNO],"")</f>
        <v/>
      </c>
      <c r="H174" s="35" t="e">
        <f t="shared" si="4"/>
        <v>#DIV/0!</v>
      </c>
      <c r="I1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5" spans="1:9" x14ac:dyDescent="0.35">
      <c r="A175" s="2"/>
      <c r="B175" t="str">
        <f>_xlfn.XLOOKUP(tblOcupacao[[#This Row],[AMBIENTE]],tblAmbientes[NOME_AMBIENTE],tblAmbientes[ID],"")</f>
        <v/>
      </c>
      <c r="D175" t="str">
        <f>_xlfn.XLOOKUP(tblOcupacao[[#This Row],[TURNO]],tblTurnos[TURNO],tblTurnos[ID_TURNO],"")</f>
        <v/>
      </c>
      <c r="H175" s="35" t="e">
        <f t="shared" si="4"/>
        <v>#DIV/0!</v>
      </c>
      <c r="I1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6" spans="1:9" x14ac:dyDescent="0.35">
      <c r="A176" s="2"/>
      <c r="B176" t="str">
        <f>_xlfn.XLOOKUP(tblOcupacao[[#This Row],[AMBIENTE]],tblAmbientes[NOME_AMBIENTE],tblAmbientes[ID],"")</f>
        <v/>
      </c>
      <c r="D176" t="str">
        <f>_xlfn.XLOOKUP(tblOcupacao[[#This Row],[TURNO]],tblTurnos[TURNO],tblTurnos[ID_TURNO],"")</f>
        <v/>
      </c>
      <c r="H176" s="35" t="e">
        <f t="shared" si="4"/>
        <v>#DIV/0!</v>
      </c>
      <c r="I1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7" spans="1:9" x14ac:dyDescent="0.35">
      <c r="A177" s="2"/>
      <c r="B177" t="str">
        <f>_xlfn.XLOOKUP(tblOcupacao[[#This Row],[AMBIENTE]],tblAmbientes[NOME_AMBIENTE],tblAmbientes[ID],"")</f>
        <v/>
      </c>
      <c r="D177" t="str">
        <f>_xlfn.XLOOKUP(tblOcupacao[[#This Row],[TURNO]],tblTurnos[TURNO],tblTurnos[ID_TURNO],"")</f>
        <v/>
      </c>
      <c r="H177" s="35" t="e">
        <f t="shared" si="4"/>
        <v>#DIV/0!</v>
      </c>
      <c r="I1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8" spans="1:9" x14ac:dyDescent="0.35">
      <c r="A178" s="2"/>
      <c r="B178" t="str">
        <f>_xlfn.XLOOKUP(tblOcupacao[[#This Row],[AMBIENTE]],tblAmbientes[NOME_AMBIENTE],tblAmbientes[ID],"")</f>
        <v/>
      </c>
      <c r="D178" t="str">
        <f>_xlfn.XLOOKUP(tblOcupacao[[#This Row],[TURNO]],tblTurnos[TURNO],tblTurnos[ID_TURNO],"")</f>
        <v/>
      </c>
      <c r="H178" s="35" t="e">
        <f t="shared" si="4"/>
        <v>#DIV/0!</v>
      </c>
      <c r="I1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9" spans="1:9" x14ac:dyDescent="0.35">
      <c r="A179" s="2"/>
      <c r="B179" t="str">
        <f>_xlfn.XLOOKUP(tblOcupacao[[#This Row],[AMBIENTE]],tblAmbientes[NOME_AMBIENTE],tblAmbientes[ID],"")</f>
        <v/>
      </c>
      <c r="D179" t="str">
        <f>_xlfn.XLOOKUP(tblOcupacao[[#This Row],[TURNO]],tblTurnos[TURNO],tblTurnos[ID_TURNO],"")</f>
        <v/>
      </c>
      <c r="H179" s="35" t="e">
        <f t="shared" si="4"/>
        <v>#DIV/0!</v>
      </c>
      <c r="I1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0" spans="1:9" x14ac:dyDescent="0.35">
      <c r="A180" s="2"/>
      <c r="B180" t="str">
        <f>_xlfn.XLOOKUP(tblOcupacao[[#This Row],[AMBIENTE]],tblAmbientes[NOME_AMBIENTE],tblAmbientes[ID],"")</f>
        <v/>
      </c>
      <c r="D180" t="str">
        <f>_xlfn.XLOOKUP(tblOcupacao[[#This Row],[TURNO]],tblTurnos[TURNO],tblTurnos[ID_TURNO],"")</f>
        <v/>
      </c>
      <c r="H180" s="35" t="e">
        <f t="shared" si="4"/>
        <v>#DIV/0!</v>
      </c>
      <c r="I1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1" spans="1:9" x14ac:dyDescent="0.35">
      <c r="A181" s="2"/>
      <c r="B181" t="str">
        <f>_xlfn.XLOOKUP(tblOcupacao[[#This Row],[AMBIENTE]],tblAmbientes[NOME_AMBIENTE],tblAmbientes[ID],"")</f>
        <v/>
      </c>
      <c r="D181" t="str">
        <f>_xlfn.XLOOKUP(tblOcupacao[[#This Row],[TURNO]],tblTurnos[TURNO],tblTurnos[ID_TURNO],"")</f>
        <v/>
      </c>
      <c r="H181" s="35" t="e">
        <f t="shared" si="4"/>
        <v>#DIV/0!</v>
      </c>
      <c r="I1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2" spans="1:9" x14ac:dyDescent="0.35">
      <c r="A182" s="2"/>
      <c r="B182" t="str">
        <f>_xlfn.XLOOKUP(tblOcupacao[[#This Row],[AMBIENTE]],tblAmbientes[NOME_AMBIENTE],tblAmbientes[ID],"")</f>
        <v/>
      </c>
      <c r="D182" t="str">
        <f>_xlfn.XLOOKUP(tblOcupacao[[#This Row],[TURNO]],tblTurnos[TURNO],tblTurnos[ID_TURNO],"")</f>
        <v/>
      </c>
      <c r="H182" s="35" t="e">
        <f t="shared" si="4"/>
        <v>#DIV/0!</v>
      </c>
      <c r="I1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3" spans="1:9" x14ac:dyDescent="0.35">
      <c r="A183" s="2"/>
      <c r="B183" t="str">
        <f>_xlfn.XLOOKUP(tblOcupacao[[#This Row],[AMBIENTE]],tblAmbientes[NOME_AMBIENTE],tblAmbientes[ID],"")</f>
        <v/>
      </c>
      <c r="D183" t="str">
        <f>_xlfn.XLOOKUP(tblOcupacao[[#This Row],[TURNO]],tblTurnos[TURNO],tblTurnos[ID_TURNO],"")</f>
        <v/>
      </c>
      <c r="H183" s="35" t="e">
        <f t="shared" si="4"/>
        <v>#DIV/0!</v>
      </c>
      <c r="I1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4" spans="1:9" x14ac:dyDescent="0.35">
      <c r="A184" s="2"/>
      <c r="B184" t="str">
        <f>_xlfn.XLOOKUP(tblOcupacao[[#This Row],[AMBIENTE]],tblAmbientes[NOME_AMBIENTE],tblAmbientes[ID],"")</f>
        <v/>
      </c>
      <c r="D184" t="str">
        <f>_xlfn.XLOOKUP(tblOcupacao[[#This Row],[TURNO]],tblTurnos[TURNO],tblTurnos[ID_TURNO],"")</f>
        <v/>
      </c>
      <c r="H184" s="35" t="e">
        <f t="shared" si="4"/>
        <v>#DIV/0!</v>
      </c>
      <c r="I1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5" spans="1:9" x14ac:dyDescent="0.35">
      <c r="A185" s="2"/>
      <c r="B185" t="str">
        <f>_xlfn.XLOOKUP(tblOcupacao[[#This Row],[AMBIENTE]],tblAmbientes[NOME_AMBIENTE],tblAmbientes[ID],"")</f>
        <v/>
      </c>
      <c r="D185" t="str">
        <f>_xlfn.XLOOKUP(tblOcupacao[[#This Row],[TURNO]],tblTurnos[TURNO],tblTurnos[ID_TURNO],"")</f>
        <v/>
      </c>
      <c r="H185" s="35" t="e">
        <f t="shared" si="4"/>
        <v>#DIV/0!</v>
      </c>
      <c r="I1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6" spans="1:9" x14ac:dyDescent="0.35">
      <c r="A186" s="2"/>
      <c r="B186" t="str">
        <f>_xlfn.XLOOKUP(tblOcupacao[[#This Row],[AMBIENTE]],tblAmbientes[NOME_AMBIENTE],tblAmbientes[ID],"")</f>
        <v/>
      </c>
      <c r="D186" t="str">
        <f>_xlfn.XLOOKUP(tblOcupacao[[#This Row],[TURNO]],tblTurnos[TURNO],tblTurnos[ID_TURNO],"")</f>
        <v/>
      </c>
      <c r="H186" s="35" t="e">
        <f t="shared" si="4"/>
        <v>#DIV/0!</v>
      </c>
      <c r="I1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7" spans="1:9" x14ac:dyDescent="0.35">
      <c r="A187" s="2"/>
      <c r="B187" t="str">
        <f>_xlfn.XLOOKUP(tblOcupacao[[#This Row],[AMBIENTE]],tblAmbientes[NOME_AMBIENTE],tblAmbientes[ID],"")</f>
        <v/>
      </c>
      <c r="D187" t="str">
        <f>_xlfn.XLOOKUP(tblOcupacao[[#This Row],[TURNO]],tblTurnos[TURNO],tblTurnos[ID_TURNO],"")</f>
        <v/>
      </c>
      <c r="H187" s="35" t="e">
        <f t="shared" si="4"/>
        <v>#DIV/0!</v>
      </c>
      <c r="I1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8" spans="1:9" x14ac:dyDescent="0.35">
      <c r="A188" s="2"/>
      <c r="B188" t="str">
        <f>_xlfn.XLOOKUP(tblOcupacao[[#This Row],[AMBIENTE]],tblAmbientes[NOME_AMBIENTE],tblAmbientes[ID],"")</f>
        <v/>
      </c>
      <c r="D188" t="str">
        <f>_xlfn.XLOOKUP(tblOcupacao[[#This Row],[TURNO]],tblTurnos[TURNO],tblTurnos[ID_TURNO],"")</f>
        <v/>
      </c>
      <c r="H188" s="35" t="e">
        <f t="shared" si="4"/>
        <v>#DIV/0!</v>
      </c>
      <c r="I1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9" spans="1:9" x14ac:dyDescent="0.35">
      <c r="A189" s="2"/>
      <c r="B189" t="str">
        <f>_xlfn.XLOOKUP(tblOcupacao[[#This Row],[AMBIENTE]],tblAmbientes[NOME_AMBIENTE],tblAmbientes[ID],"")</f>
        <v/>
      </c>
      <c r="D189" t="str">
        <f>_xlfn.XLOOKUP(tblOcupacao[[#This Row],[TURNO]],tblTurnos[TURNO],tblTurnos[ID_TURNO],"")</f>
        <v/>
      </c>
      <c r="H189" s="35" t="e">
        <f t="shared" si="4"/>
        <v>#DIV/0!</v>
      </c>
      <c r="I1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0" spans="1:9" x14ac:dyDescent="0.35">
      <c r="A190" s="2"/>
      <c r="B190" t="str">
        <f>_xlfn.XLOOKUP(tblOcupacao[[#This Row],[AMBIENTE]],tblAmbientes[NOME_AMBIENTE],tblAmbientes[ID],"")</f>
        <v/>
      </c>
      <c r="D190" t="str">
        <f>_xlfn.XLOOKUP(tblOcupacao[[#This Row],[TURNO]],tblTurnos[TURNO],tblTurnos[ID_TURNO],"")</f>
        <v/>
      </c>
      <c r="H190" s="35" t="e">
        <f t="shared" si="4"/>
        <v>#DIV/0!</v>
      </c>
      <c r="I1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1" spans="1:9" x14ac:dyDescent="0.35">
      <c r="A191" s="2"/>
      <c r="B191" t="str">
        <f>_xlfn.XLOOKUP(tblOcupacao[[#This Row],[AMBIENTE]],tblAmbientes[NOME_AMBIENTE],tblAmbientes[ID],"")</f>
        <v/>
      </c>
      <c r="D191" t="str">
        <f>_xlfn.XLOOKUP(tblOcupacao[[#This Row],[TURNO]],tblTurnos[TURNO],tblTurnos[ID_TURNO],"")</f>
        <v/>
      </c>
      <c r="H191" s="35" t="e">
        <f t="shared" si="4"/>
        <v>#DIV/0!</v>
      </c>
      <c r="I1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2" spans="1:9" x14ac:dyDescent="0.35">
      <c r="A192" s="2"/>
      <c r="B192" t="str">
        <f>_xlfn.XLOOKUP(tblOcupacao[[#This Row],[AMBIENTE]],tblAmbientes[NOME_AMBIENTE],tblAmbientes[ID],"")</f>
        <v/>
      </c>
      <c r="D192" t="str">
        <f>_xlfn.XLOOKUP(tblOcupacao[[#This Row],[TURNO]],tblTurnos[TURNO],tblTurnos[ID_TURNO],"")</f>
        <v/>
      </c>
      <c r="H192" s="35" t="e">
        <f t="shared" si="4"/>
        <v>#DIV/0!</v>
      </c>
      <c r="I1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3" spans="1:9" x14ac:dyDescent="0.35">
      <c r="A193" s="2"/>
      <c r="B193" t="str">
        <f>_xlfn.XLOOKUP(tblOcupacao[[#This Row],[AMBIENTE]],tblAmbientes[NOME_AMBIENTE],tblAmbientes[ID],"")</f>
        <v/>
      </c>
      <c r="D193" t="str">
        <f>_xlfn.XLOOKUP(tblOcupacao[[#This Row],[TURNO]],tblTurnos[TURNO],tblTurnos[ID_TURNO],"")</f>
        <v/>
      </c>
      <c r="H193" s="35" t="e">
        <f t="shared" si="4"/>
        <v>#DIV/0!</v>
      </c>
      <c r="I1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4" spans="1:9" x14ac:dyDescent="0.35">
      <c r="A194" s="2"/>
      <c r="B194" t="str">
        <f>_xlfn.XLOOKUP(tblOcupacao[[#This Row],[AMBIENTE]],tblAmbientes[NOME_AMBIENTE],tblAmbientes[ID],"")</f>
        <v/>
      </c>
      <c r="D194" t="str">
        <f>_xlfn.XLOOKUP(tblOcupacao[[#This Row],[TURNO]],tblTurnos[TURNO],tblTurnos[ID_TURNO],"")</f>
        <v/>
      </c>
      <c r="H194" s="35" t="e">
        <f t="shared" si="4"/>
        <v>#DIV/0!</v>
      </c>
      <c r="I1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5" spans="1:9" x14ac:dyDescent="0.35">
      <c r="A195" s="2"/>
      <c r="B195" t="str">
        <f>_xlfn.XLOOKUP(tblOcupacao[[#This Row],[AMBIENTE]],tblAmbientes[NOME_AMBIENTE],tblAmbientes[ID],"")</f>
        <v/>
      </c>
      <c r="D195" t="str">
        <f>_xlfn.XLOOKUP(tblOcupacao[[#This Row],[TURNO]],tblTurnos[TURNO],tblTurnos[ID_TURNO],"")</f>
        <v/>
      </c>
      <c r="H195" s="35" t="e">
        <f t="shared" si="4"/>
        <v>#DIV/0!</v>
      </c>
      <c r="I1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6" spans="1:9" x14ac:dyDescent="0.35">
      <c r="A196" s="2"/>
      <c r="B196" t="str">
        <f>_xlfn.XLOOKUP(tblOcupacao[[#This Row],[AMBIENTE]],tblAmbientes[NOME_AMBIENTE],tblAmbientes[ID],"")</f>
        <v/>
      </c>
      <c r="D196" t="str">
        <f>_xlfn.XLOOKUP(tblOcupacao[[#This Row],[TURNO]],tblTurnos[TURNO],tblTurnos[ID_TURNO],"")</f>
        <v/>
      </c>
      <c r="H196" s="35" t="e">
        <f t="shared" si="4"/>
        <v>#DIV/0!</v>
      </c>
      <c r="I1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7" spans="1:9" x14ac:dyDescent="0.35">
      <c r="A197" s="2"/>
      <c r="B197" t="str">
        <f>_xlfn.XLOOKUP(tblOcupacao[[#This Row],[AMBIENTE]],tblAmbientes[NOME_AMBIENTE],tblAmbientes[ID],"")</f>
        <v/>
      </c>
      <c r="D197" t="str">
        <f>_xlfn.XLOOKUP(tblOcupacao[[#This Row],[TURNO]],tblTurnos[TURNO],tblTurnos[ID_TURNO],"")</f>
        <v/>
      </c>
      <c r="H197" s="35" t="e">
        <f t="shared" si="4"/>
        <v>#DIV/0!</v>
      </c>
      <c r="I1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8" spans="1:9" x14ac:dyDescent="0.35">
      <c r="A198" s="2"/>
      <c r="B198" t="str">
        <f>_xlfn.XLOOKUP(tblOcupacao[[#This Row],[AMBIENTE]],tblAmbientes[NOME_AMBIENTE],tblAmbientes[ID],"")</f>
        <v/>
      </c>
      <c r="D198" t="str">
        <f>_xlfn.XLOOKUP(tblOcupacao[[#This Row],[TURNO]],tblTurnos[TURNO],tblTurnos[ID_TURNO],"")</f>
        <v/>
      </c>
      <c r="H198" s="35" t="e">
        <f t="shared" si="4"/>
        <v>#DIV/0!</v>
      </c>
      <c r="I1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9" spans="1:9" x14ac:dyDescent="0.35">
      <c r="A199" s="2"/>
      <c r="B199" t="str">
        <f>_xlfn.XLOOKUP(tblOcupacao[[#This Row],[AMBIENTE]],tblAmbientes[NOME_AMBIENTE],tblAmbientes[ID],"")</f>
        <v/>
      </c>
      <c r="D199" t="str">
        <f>_xlfn.XLOOKUP(tblOcupacao[[#This Row],[TURNO]],tblTurnos[TURNO],tblTurnos[ID_TURNO],"")</f>
        <v/>
      </c>
      <c r="H199" s="35" t="e">
        <f t="shared" si="4"/>
        <v>#DIV/0!</v>
      </c>
      <c r="I1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0" spans="1:9" x14ac:dyDescent="0.35">
      <c r="A200" s="2"/>
      <c r="B200" t="str">
        <f>_xlfn.XLOOKUP(tblOcupacao[[#This Row],[AMBIENTE]],tblAmbientes[NOME_AMBIENTE],tblAmbientes[ID],"")</f>
        <v/>
      </c>
      <c r="D200" t="str">
        <f>_xlfn.XLOOKUP(tblOcupacao[[#This Row],[TURNO]],tblTurnos[TURNO],tblTurnos[ID_TURNO],"")</f>
        <v/>
      </c>
      <c r="H200" s="35" t="e">
        <f t="shared" si="4"/>
        <v>#DIV/0!</v>
      </c>
      <c r="I2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1" spans="1:9" x14ac:dyDescent="0.35">
      <c r="A201" s="2"/>
      <c r="B201" t="str">
        <f>_xlfn.XLOOKUP(tblOcupacao[[#This Row],[AMBIENTE]],tblAmbientes[NOME_AMBIENTE],tblAmbientes[ID],"")</f>
        <v/>
      </c>
      <c r="D201" t="str">
        <f>_xlfn.XLOOKUP(tblOcupacao[[#This Row],[TURNO]],tblTurnos[TURNO],tblTurnos[ID_TURNO],"")</f>
        <v/>
      </c>
      <c r="H201" s="35" t="e">
        <f t="shared" si="4"/>
        <v>#DIV/0!</v>
      </c>
      <c r="I2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2" spans="1:9" x14ac:dyDescent="0.35">
      <c r="A202" s="2"/>
      <c r="B202" t="str">
        <f>_xlfn.XLOOKUP(tblOcupacao[[#This Row],[AMBIENTE]],tblAmbientes[NOME_AMBIENTE],tblAmbientes[ID],"")</f>
        <v/>
      </c>
      <c r="D202" t="str">
        <f>_xlfn.XLOOKUP(tblOcupacao[[#This Row],[TURNO]],tblTurnos[TURNO],tblTurnos[ID_TURNO],"")</f>
        <v/>
      </c>
      <c r="H202" s="35" t="e">
        <f t="shared" si="4"/>
        <v>#DIV/0!</v>
      </c>
      <c r="I2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3" spans="1:9" x14ac:dyDescent="0.35">
      <c r="A203" s="2"/>
      <c r="B203" t="str">
        <f>_xlfn.XLOOKUP(tblOcupacao[[#This Row],[AMBIENTE]],tblAmbientes[NOME_AMBIENTE],tblAmbientes[ID],"")</f>
        <v/>
      </c>
      <c r="D203" t="str">
        <f>_xlfn.XLOOKUP(tblOcupacao[[#This Row],[TURNO]],tblTurnos[TURNO],tblTurnos[ID_TURNO],"")</f>
        <v/>
      </c>
      <c r="H203" s="35" t="e">
        <f t="shared" si="4"/>
        <v>#DIV/0!</v>
      </c>
      <c r="I2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4" spans="1:9" x14ac:dyDescent="0.35">
      <c r="A204" s="2"/>
      <c r="B204" t="str">
        <f>_xlfn.XLOOKUP(tblOcupacao[[#This Row],[AMBIENTE]],tblAmbientes[NOME_AMBIENTE],tblAmbientes[ID],"")</f>
        <v/>
      </c>
      <c r="D204" t="str">
        <f>_xlfn.XLOOKUP(tblOcupacao[[#This Row],[TURNO]],tblTurnos[TURNO],tblTurnos[ID_TURNO],"")</f>
        <v/>
      </c>
      <c r="H204" s="35" t="e">
        <f t="shared" si="4"/>
        <v>#DIV/0!</v>
      </c>
      <c r="I2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5" spans="1:9" x14ac:dyDescent="0.35">
      <c r="A205" s="2"/>
      <c r="B205" t="str">
        <f>_xlfn.XLOOKUP(tblOcupacao[[#This Row],[AMBIENTE]],tblAmbientes[NOME_AMBIENTE],tblAmbientes[ID],"")</f>
        <v/>
      </c>
      <c r="D205" t="str">
        <f>_xlfn.XLOOKUP(tblOcupacao[[#This Row],[TURNO]],tblTurnos[TURNO],tblTurnos[ID_TURNO],"")</f>
        <v/>
      </c>
      <c r="H205" s="35" t="e">
        <f t="shared" si="4"/>
        <v>#DIV/0!</v>
      </c>
      <c r="I2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6" spans="1:9" x14ac:dyDescent="0.35">
      <c r="A206" s="2"/>
      <c r="B206" t="str">
        <f>_xlfn.XLOOKUP(tblOcupacao[[#This Row],[AMBIENTE]],tblAmbientes[NOME_AMBIENTE],tblAmbientes[ID],"")</f>
        <v/>
      </c>
      <c r="D206" t="str">
        <f>_xlfn.XLOOKUP(tblOcupacao[[#This Row],[TURNO]],tblTurnos[TURNO],tblTurnos[ID_TURNO],"")</f>
        <v/>
      </c>
      <c r="H206" s="35" t="e">
        <f t="shared" si="4"/>
        <v>#DIV/0!</v>
      </c>
      <c r="I2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7" spans="1:9" x14ac:dyDescent="0.35">
      <c r="A207" s="2"/>
      <c r="B207" t="str">
        <f>_xlfn.XLOOKUP(tblOcupacao[[#This Row],[AMBIENTE]],tblAmbientes[NOME_AMBIENTE],tblAmbientes[ID],"")</f>
        <v/>
      </c>
      <c r="D207" t="str">
        <f>_xlfn.XLOOKUP(tblOcupacao[[#This Row],[TURNO]],tblTurnos[TURNO],tblTurnos[ID_TURNO],"")</f>
        <v/>
      </c>
      <c r="H207" s="35" t="e">
        <f t="shared" si="4"/>
        <v>#DIV/0!</v>
      </c>
      <c r="I2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8" spans="1:9" x14ac:dyDescent="0.35">
      <c r="A208" s="2"/>
      <c r="B208" t="str">
        <f>_xlfn.XLOOKUP(tblOcupacao[[#This Row],[AMBIENTE]],tblAmbientes[NOME_AMBIENTE],tblAmbientes[ID],"")</f>
        <v/>
      </c>
      <c r="D208" t="str">
        <f>_xlfn.XLOOKUP(tblOcupacao[[#This Row],[TURNO]],tblTurnos[TURNO],tblTurnos[ID_TURNO],"")</f>
        <v/>
      </c>
      <c r="H208" s="35" t="e">
        <f t="shared" si="4"/>
        <v>#DIV/0!</v>
      </c>
      <c r="I2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9" spans="1:9" x14ac:dyDescent="0.35">
      <c r="A209" s="2"/>
      <c r="B209" t="str">
        <f>_xlfn.XLOOKUP(tblOcupacao[[#This Row],[AMBIENTE]],tblAmbientes[NOME_AMBIENTE],tblAmbientes[ID],"")</f>
        <v/>
      </c>
      <c r="D209" t="str">
        <f>_xlfn.XLOOKUP(tblOcupacao[[#This Row],[TURNO]],tblTurnos[TURNO],tblTurnos[ID_TURNO],"")</f>
        <v/>
      </c>
      <c r="H209" s="35" t="e">
        <f t="shared" si="4"/>
        <v>#DIV/0!</v>
      </c>
      <c r="I2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0" spans="1:9" x14ac:dyDescent="0.35">
      <c r="A210" s="2"/>
      <c r="B210" t="str">
        <f>_xlfn.XLOOKUP(tblOcupacao[[#This Row],[AMBIENTE]],tblAmbientes[NOME_AMBIENTE],tblAmbientes[ID],"")</f>
        <v/>
      </c>
      <c r="D210" t="str">
        <f>_xlfn.XLOOKUP(tblOcupacao[[#This Row],[TURNO]],tblTurnos[TURNO],tblTurnos[ID_TURNO],"")</f>
        <v/>
      </c>
      <c r="H210" s="35" t="e">
        <f t="shared" si="4"/>
        <v>#DIV/0!</v>
      </c>
      <c r="I2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1" spans="1:9" x14ac:dyDescent="0.35">
      <c r="A211" s="2"/>
      <c r="B211" t="str">
        <f>_xlfn.XLOOKUP(tblOcupacao[[#This Row],[AMBIENTE]],tblAmbientes[NOME_AMBIENTE],tblAmbientes[ID],"")</f>
        <v/>
      </c>
      <c r="D211" t="str">
        <f>_xlfn.XLOOKUP(tblOcupacao[[#This Row],[TURNO]],tblTurnos[TURNO],tblTurnos[ID_TURNO],"")</f>
        <v/>
      </c>
      <c r="H211" s="35" t="e">
        <f t="shared" si="4"/>
        <v>#DIV/0!</v>
      </c>
      <c r="I2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2" spans="1:9" x14ac:dyDescent="0.35">
      <c r="A212" s="2"/>
      <c r="B212" t="str">
        <f>_xlfn.XLOOKUP(tblOcupacao[[#This Row],[AMBIENTE]],tblAmbientes[NOME_AMBIENTE],tblAmbientes[ID],"")</f>
        <v/>
      </c>
      <c r="D212" t="str">
        <f>_xlfn.XLOOKUP(tblOcupacao[[#This Row],[TURNO]],tblTurnos[TURNO],tblTurnos[ID_TURNO],"")</f>
        <v/>
      </c>
      <c r="H212" s="35" t="e">
        <f t="shared" si="4"/>
        <v>#DIV/0!</v>
      </c>
      <c r="I2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3" spans="1:9" x14ac:dyDescent="0.35">
      <c r="A213" s="2"/>
      <c r="B213" t="str">
        <f>_xlfn.XLOOKUP(tblOcupacao[[#This Row],[AMBIENTE]],tblAmbientes[NOME_AMBIENTE],tblAmbientes[ID],"")</f>
        <v/>
      </c>
      <c r="D213" t="str">
        <f>_xlfn.XLOOKUP(tblOcupacao[[#This Row],[TURNO]],tblTurnos[TURNO],tblTurnos[ID_TURNO],"")</f>
        <v/>
      </c>
      <c r="H213" s="35" t="e">
        <f t="shared" si="4"/>
        <v>#DIV/0!</v>
      </c>
      <c r="I2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4" spans="1:9" x14ac:dyDescent="0.35">
      <c r="A214" s="2"/>
      <c r="B214" t="str">
        <f>_xlfn.XLOOKUP(tblOcupacao[[#This Row],[AMBIENTE]],tblAmbientes[NOME_AMBIENTE],tblAmbientes[ID],"")</f>
        <v/>
      </c>
      <c r="D214" t="str">
        <f>_xlfn.XLOOKUP(tblOcupacao[[#This Row],[TURNO]],tblTurnos[TURNO],tblTurnos[ID_TURNO],"")</f>
        <v/>
      </c>
      <c r="H214" s="35" t="e">
        <f t="shared" ref="H214:H277" si="5">$F214/$G214</f>
        <v>#DIV/0!</v>
      </c>
      <c r="I2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5" spans="1:9" x14ac:dyDescent="0.35">
      <c r="A215" s="2"/>
      <c r="B215" t="str">
        <f>_xlfn.XLOOKUP(tblOcupacao[[#This Row],[AMBIENTE]],tblAmbientes[NOME_AMBIENTE],tblAmbientes[ID],"")</f>
        <v/>
      </c>
      <c r="D215" t="str">
        <f>_xlfn.XLOOKUP(tblOcupacao[[#This Row],[TURNO]],tblTurnos[TURNO],tblTurnos[ID_TURNO],"")</f>
        <v/>
      </c>
      <c r="H215" s="35" t="e">
        <f t="shared" si="5"/>
        <v>#DIV/0!</v>
      </c>
      <c r="I2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6" spans="1:9" x14ac:dyDescent="0.35">
      <c r="A216" s="2"/>
      <c r="B216" t="str">
        <f>_xlfn.XLOOKUP(tblOcupacao[[#This Row],[AMBIENTE]],tblAmbientes[NOME_AMBIENTE],tblAmbientes[ID],"")</f>
        <v/>
      </c>
      <c r="D216" t="str">
        <f>_xlfn.XLOOKUP(tblOcupacao[[#This Row],[TURNO]],tblTurnos[TURNO],tblTurnos[ID_TURNO],"")</f>
        <v/>
      </c>
      <c r="H216" s="35" t="e">
        <f t="shared" si="5"/>
        <v>#DIV/0!</v>
      </c>
      <c r="I2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7" spans="1:9" x14ac:dyDescent="0.35">
      <c r="A217" s="2"/>
      <c r="B217" t="str">
        <f>_xlfn.XLOOKUP(tblOcupacao[[#This Row],[AMBIENTE]],tblAmbientes[NOME_AMBIENTE],tblAmbientes[ID],"")</f>
        <v/>
      </c>
      <c r="D217" t="str">
        <f>_xlfn.XLOOKUP(tblOcupacao[[#This Row],[TURNO]],tblTurnos[TURNO],tblTurnos[ID_TURNO],"")</f>
        <v/>
      </c>
      <c r="H217" s="35" t="e">
        <f t="shared" si="5"/>
        <v>#DIV/0!</v>
      </c>
      <c r="I2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8" spans="1:9" x14ac:dyDescent="0.35">
      <c r="A218" s="2"/>
      <c r="B218" t="str">
        <f>_xlfn.XLOOKUP(tblOcupacao[[#This Row],[AMBIENTE]],tblAmbientes[NOME_AMBIENTE],tblAmbientes[ID],"")</f>
        <v/>
      </c>
      <c r="D218" t="str">
        <f>_xlfn.XLOOKUP(tblOcupacao[[#This Row],[TURNO]],tblTurnos[TURNO],tblTurnos[ID_TURNO],"")</f>
        <v/>
      </c>
      <c r="H218" s="35" t="e">
        <f t="shared" si="5"/>
        <v>#DIV/0!</v>
      </c>
      <c r="I2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9" spans="1:9" x14ac:dyDescent="0.35">
      <c r="A219" s="2"/>
      <c r="B219" t="str">
        <f>_xlfn.XLOOKUP(tblOcupacao[[#This Row],[AMBIENTE]],tblAmbientes[NOME_AMBIENTE],tblAmbientes[ID],"")</f>
        <v/>
      </c>
      <c r="D219" t="str">
        <f>_xlfn.XLOOKUP(tblOcupacao[[#This Row],[TURNO]],tblTurnos[TURNO],tblTurnos[ID_TURNO],"")</f>
        <v/>
      </c>
      <c r="H219" s="35" t="e">
        <f t="shared" si="5"/>
        <v>#DIV/0!</v>
      </c>
      <c r="I2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0" spans="1:9" x14ac:dyDescent="0.35">
      <c r="A220" s="2"/>
      <c r="B220" t="str">
        <f>_xlfn.XLOOKUP(tblOcupacao[[#This Row],[AMBIENTE]],tblAmbientes[NOME_AMBIENTE],tblAmbientes[ID],"")</f>
        <v/>
      </c>
      <c r="D220" t="str">
        <f>_xlfn.XLOOKUP(tblOcupacao[[#This Row],[TURNO]],tblTurnos[TURNO],tblTurnos[ID_TURNO],"")</f>
        <v/>
      </c>
      <c r="H220" s="35" t="e">
        <f t="shared" si="5"/>
        <v>#DIV/0!</v>
      </c>
      <c r="I2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1" spans="1:9" x14ac:dyDescent="0.35">
      <c r="A221" s="2"/>
      <c r="B221" t="str">
        <f>_xlfn.XLOOKUP(tblOcupacao[[#This Row],[AMBIENTE]],tblAmbientes[NOME_AMBIENTE],tblAmbientes[ID],"")</f>
        <v/>
      </c>
      <c r="D221" t="str">
        <f>_xlfn.XLOOKUP(tblOcupacao[[#This Row],[TURNO]],tblTurnos[TURNO],tblTurnos[ID_TURNO],"")</f>
        <v/>
      </c>
      <c r="H221" s="35" t="e">
        <f t="shared" si="5"/>
        <v>#DIV/0!</v>
      </c>
      <c r="I2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2" spans="1:9" x14ac:dyDescent="0.35">
      <c r="A222" s="2"/>
      <c r="B222" t="str">
        <f>_xlfn.XLOOKUP(tblOcupacao[[#This Row],[AMBIENTE]],tblAmbientes[NOME_AMBIENTE],tblAmbientes[ID],"")</f>
        <v/>
      </c>
      <c r="D222" t="str">
        <f>_xlfn.XLOOKUP(tblOcupacao[[#This Row],[TURNO]],tblTurnos[TURNO],tblTurnos[ID_TURNO],"")</f>
        <v/>
      </c>
      <c r="H222" s="35" t="e">
        <f t="shared" si="5"/>
        <v>#DIV/0!</v>
      </c>
      <c r="I2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3" spans="1:9" x14ac:dyDescent="0.35">
      <c r="A223" s="2"/>
      <c r="B223" t="str">
        <f>_xlfn.XLOOKUP(tblOcupacao[[#This Row],[AMBIENTE]],tblAmbientes[NOME_AMBIENTE],tblAmbientes[ID],"")</f>
        <v/>
      </c>
      <c r="D223" t="str">
        <f>_xlfn.XLOOKUP(tblOcupacao[[#This Row],[TURNO]],tblTurnos[TURNO],tblTurnos[ID_TURNO],"")</f>
        <v/>
      </c>
      <c r="H223" s="35" t="e">
        <f t="shared" si="5"/>
        <v>#DIV/0!</v>
      </c>
      <c r="I2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4" spans="1:9" x14ac:dyDescent="0.35">
      <c r="A224" s="2"/>
      <c r="B224" t="str">
        <f>_xlfn.XLOOKUP(tblOcupacao[[#This Row],[AMBIENTE]],tblAmbientes[NOME_AMBIENTE],tblAmbientes[ID],"")</f>
        <v/>
      </c>
      <c r="D224" t="str">
        <f>_xlfn.XLOOKUP(tblOcupacao[[#This Row],[TURNO]],tblTurnos[TURNO],tblTurnos[ID_TURNO],"")</f>
        <v/>
      </c>
      <c r="H224" s="35" t="e">
        <f t="shared" si="5"/>
        <v>#DIV/0!</v>
      </c>
      <c r="I2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5" spans="1:9" x14ac:dyDescent="0.35">
      <c r="A225" s="2"/>
      <c r="B225" t="str">
        <f>_xlfn.XLOOKUP(tblOcupacao[[#This Row],[AMBIENTE]],tblAmbientes[NOME_AMBIENTE],tblAmbientes[ID],"")</f>
        <v/>
      </c>
      <c r="D225" t="str">
        <f>_xlfn.XLOOKUP(tblOcupacao[[#This Row],[TURNO]],tblTurnos[TURNO],tblTurnos[ID_TURNO],"")</f>
        <v/>
      </c>
      <c r="H225" s="35" t="e">
        <f t="shared" si="5"/>
        <v>#DIV/0!</v>
      </c>
      <c r="I2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6" spans="1:9" x14ac:dyDescent="0.35">
      <c r="A226" s="2"/>
      <c r="B226" t="str">
        <f>_xlfn.XLOOKUP(tblOcupacao[[#This Row],[AMBIENTE]],tblAmbientes[NOME_AMBIENTE],tblAmbientes[ID],"")</f>
        <v/>
      </c>
      <c r="D226" t="str">
        <f>_xlfn.XLOOKUP(tblOcupacao[[#This Row],[TURNO]],tblTurnos[TURNO],tblTurnos[ID_TURNO],"")</f>
        <v/>
      </c>
      <c r="H226" s="35" t="e">
        <f t="shared" si="5"/>
        <v>#DIV/0!</v>
      </c>
      <c r="I2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7" spans="1:9" x14ac:dyDescent="0.35">
      <c r="A227" s="2"/>
      <c r="B227" t="str">
        <f>_xlfn.XLOOKUP(tblOcupacao[[#This Row],[AMBIENTE]],tblAmbientes[NOME_AMBIENTE],tblAmbientes[ID],"")</f>
        <v/>
      </c>
      <c r="D227" t="str">
        <f>_xlfn.XLOOKUP(tblOcupacao[[#This Row],[TURNO]],tblTurnos[TURNO],tblTurnos[ID_TURNO],"")</f>
        <v/>
      </c>
      <c r="H227" s="35" t="e">
        <f t="shared" si="5"/>
        <v>#DIV/0!</v>
      </c>
      <c r="I2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8" spans="1:9" x14ac:dyDescent="0.35">
      <c r="A228" s="2"/>
      <c r="B228" t="str">
        <f>_xlfn.XLOOKUP(tblOcupacao[[#This Row],[AMBIENTE]],tblAmbientes[NOME_AMBIENTE],tblAmbientes[ID],"")</f>
        <v/>
      </c>
      <c r="D228" t="str">
        <f>_xlfn.XLOOKUP(tblOcupacao[[#This Row],[TURNO]],tblTurnos[TURNO],tblTurnos[ID_TURNO],"")</f>
        <v/>
      </c>
      <c r="H228" s="35" t="e">
        <f t="shared" si="5"/>
        <v>#DIV/0!</v>
      </c>
      <c r="I2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9" spans="1:9" x14ac:dyDescent="0.35">
      <c r="A229" s="2"/>
      <c r="B229" t="str">
        <f>_xlfn.XLOOKUP(tblOcupacao[[#This Row],[AMBIENTE]],tblAmbientes[NOME_AMBIENTE],tblAmbientes[ID],"")</f>
        <v/>
      </c>
      <c r="D229" t="str">
        <f>_xlfn.XLOOKUP(tblOcupacao[[#This Row],[TURNO]],tblTurnos[TURNO],tblTurnos[ID_TURNO],"")</f>
        <v/>
      </c>
      <c r="H229" s="35" t="e">
        <f t="shared" si="5"/>
        <v>#DIV/0!</v>
      </c>
      <c r="I2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0" spans="1:9" x14ac:dyDescent="0.35">
      <c r="A230" s="2"/>
      <c r="B230" t="str">
        <f>_xlfn.XLOOKUP(tblOcupacao[[#This Row],[AMBIENTE]],tblAmbientes[NOME_AMBIENTE],tblAmbientes[ID],"")</f>
        <v/>
      </c>
      <c r="D230" t="str">
        <f>_xlfn.XLOOKUP(tblOcupacao[[#This Row],[TURNO]],tblTurnos[TURNO],tblTurnos[ID_TURNO],"")</f>
        <v/>
      </c>
      <c r="H230" s="35" t="e">
        <f t="shared" si="5"/>
        <v>#DIV/0!</v>
      </c>
      <c r="I2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1" spans="1:9" x14ac:dyDescent="0.35">
      <c r="A231" s="2"/>
      <c r="B231" t="str">
        <f>_xlfn.XLOOKUP(tblOcupacao[[#This Row],[AMBIENTE]],tblAmbientes[NOME_AMBIENTE],tblAmbientes[ID],"")</f>
        <v/>
      </c>
      <c r="D231" t="str">
        <f>_xlfn.XLOOKUP(tblOcupacao[[#This Row],[TURNO]],tblTurnos[TURNO],tblTurnos[ID_TURNO],"")</f>
        <v/>
      </c>
      <c r="H231" s="35" t="e">
        <f t="shared" si="5"/>
        <v>#DIV/0!</v>
      </c>
      <c r="I2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2" spans="1:9" x14ac:dyDescent="0.35">
      <c r="A232" s="2"/>
      <c r="B232" t="str">
        <f>_xlfn.XLOOKUP(tblOcupacao[[#This Row],[AMBIENTE]],tblAmbientes[NOME_AMBIENTE],tblAmbientes[ID],"")</f>
        <v/>
      </c>
      <c r="D232" t="str">
        <f>_xlfn.XLOOKUP(tblOcupacao[[#This Row],[TURNO]],tblTurnos[TURNO],tblTurnos[ID_TURNO],"")</f>
        <v/>
      </c>
      <c r="H232" s="35" t="e">
        <f t="shared" si="5"/>
        <v>#DIV/0!</v>
      </c>
      <c r="I2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3" spans="1:9" x14ac:dyDescent="0.35">
      <c r="A233" s="2"/>
      <c r="B233" t="str">
        <f>_xlfn.XLOOKUP(tblOcupacao[[#This Row],[AMBIENTE]],tblAmbientes[NOME_AMBIENTE],tblAmbientes[ID],"")</f>
        <v/>
      </c>
      <c r="D233" t="str">
        <f>_xlfn.XLOOKUP(tblOcupacao[[#This Row],[TURNO]],tblTurnos[TURNO],tblTurnos[ID_TURNO],"")</f>
        <v/>
      </c>
      <c r="H233" s="35" t="e">
        <f t="shared" si="5"/>
        <v>#DIV/0!</v>
      </c>
      <c r="I2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4" spans="1:9" x14ac:dyDescent="0.35">
      <c r="A234" s="2"/>
      <c r="B234" t="str">
        <f>_xlfn.XLOOKUP(tblOcupacao[[#This Row],[AMBIENTE]],tblAmbientes[NOME_AMBIENTE],tblAmbientes[ID],"")</f>
        <v/>
      </c>
      <c r="D234" t="str">
        <f>_xlfn.XLOOKUP(tblOcupacao[[#This Row],[TURNO]],tblTurnos[TURNO],tblTurnos[ID_TURNO],"")</f>
        <v/>
      </c>
      <c r="H234" s="35" t="e">
        <f t="shared" si="5"/>
        <v>#DIV/0!</v>
      </c>
      <c r="I2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5" spans="1:9" x14ac:dyDescent="0.35">
      <c r="A235" s="2"/>
      <c r="B235" t="str">
        <f>_xlfn.XLOOKUP(tblOcupacao[[#This Row],[AMBIENTE]],tblAmbientes[NOME_AMBIENTE],tblAmbientes[ID],"")</f>
        <v/>
      </c>
      <c r="D235" t="str">
        <f>_xlfn.XLOOKUP(tblOcupacao[[#This Row],[TURNO]],tblTurnos[TURNO],tblTurnos[ID_TURNO],"")</f>
        <v/>
      </c>
      <c r="H235" s="35" t="e">
        <f t="shared" si="5"/>
        <v>#DIV/0!</v>
      </c>
      <c r="I2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6" spans="1:9" x14ac:dyDescent="0.35">
      <c r="A236" s="2"/>
      <c r="B236" t="str">
        <f>_xlfn.XLOOKUP(tblOcupacao[[#This Row],[AMBIENTE]],tblAmbientes[NOME_AMBIENTE],tblAmbientes[ID],"")</f>
        <v/>
      </c>
      <c r="D236" t="str">
        <f>_xlfn.XLOOKUP(tblOcupacao[[#This Row],[TURNO]],tblTurnos[TURNO],tblTurnos[ID_TURNO],"")</f>
        <v/>
      </c>
      <c r="H236" s="35" t="e">
        <f t="shared" si="5"/>
        <v>#DIV/0!</v>
      </c>
      <c r="I2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7" spans="1:9" x14ac:dyDescent="0.35">
      <c r="A237" s="2"/>
      <c r="B237" t="str">
        <f>_xlfn.XLOOKUP(tblOcupacao[[#This Row],[AMBIENTE]],tblAmbientes[NOME_AMBIENTE],tblAmbientes[ID],"")</f>
        <v/>
      </c>
      <c r="D237" t="str">
        <f>_xlfn.XLOOKUP(tblOcupacao[[#This Row],[TURNO]],tblTurnos[TURNO],tblTurnos[ID_TURNO],"")</f>
        <v/>
      </c>
      <c r="H237" s="35" t="e">
        <f t="shared" si="5"/>
        <v>#DIV/0!</v>
      </c>
      <c r="I2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8" spans="1:9" x14ac:dyDescent="0.35">
      <c r="A238" s="2"/>
      <c r="B238" t="str">
        <f>_xlfn.XLOOKUP(tblOcupacao[[#This Row],[AMBIENTE]],tblAmbientes[NOME_AMBIENTE],tblAmbientes[ID],"")</f>
        <v/>
      </c>
      <c r="D238" t="str">
        <f>_xlfn.XLOOKUP(tblOcupacao[[#This Row],[TURNO]],tblTurnos[TURNO],tblTurnos[ID_TURNO],"")</f>
        <v/>
      </c>
      <c r="H238" s="35" t="e">
        <f t="shared" si="5"/>
        <v>#DIV/0!</v>
      </c>
      <c r="I2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9" spans="1:9" x14ac:dyDescent="0.35">
      <c r="A239" s="2"/>
      <c r="B239" t="str">
        <f>_xlfn.XLOOKUP(tblOcupacao[[#This Row],[AMBIENTE]],tblAmbientes[NOME_AMBIENTE],tblAmbientes[ID],"")</f>
        <v/>
      </c>
      <c r="D239" t="str">
        <f>_xlfn.XLOOKUP(tblOcupacao[[#This Row],[TURNO]],tblTurnos[TURNO],tblTurnos[ID_TURNO],"")</f>
        <v/>
      </c>
      <c r="H239" s="35" t="e">
        <f t="shared" si="5"/>
        <v>#DIV/0!</v>
      </c>
      <c r="I2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0" spans="1:9" x14ac:dyDescent="0.35">
      <c r="A240" s="2"/>
      <c r="B240" t="str">
        <f>_xlfn.XLOOKUP(tblOcupacao[[#This Row],[AMBIENTE]],tblAmbientes[NOME_AMBIENTE],tblAmbientes[ID],"")</f>
        <v/>
      </c>
      <c r="D240" t="str">
        <f>_xlfn.XLOOKUP(tblOcupacao[[#This Row],[TURNO]],tblTurnos[TURNO],tblTurnos[ID_TURNO],"")</f>
        <v/>
      </c>
      <c r="H240" s="35" t="e">
        <f t="shared" si="5"/>
        <v>#DIV/0!</v>
      </c>
      <c r="I2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1" spans="1:9" x14ac:dyDescent="0.35">
      <c r="A241" s="2"/>
      <c r="B241" t="str">
        <f>_xlfn.XLOOKUP(tblOcupacao[[#This Row],[AMBIENTE]],tblAmbientes[NOME_AMBIENTE],tblAmbientes[ID],"")</f>
        <v/>
      </c>
      <c r="D241" t="str">
        <f>_xlfn.XLOOKUP(tblOcupacao[[#This Row],[TURNO]],tblTurnos[TURNO],tblTurnos[ID_TURNO],"")</f>
        <v/>
      </c>
      <c r="H241" s="35" t="e">
        <f t="shared" si="5"/>
        <v>#DIV/0!</v>
      </c>
      <c r="I2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2" spans="1:9" x14ac:dyDescent="0.35">
      <c r="A242" s="2"/>
      <c r="B242" t="str">
        <f>_xlfn.XLOOKUP(tblOcupacao[[#This Row],[AMBIENTE]],tblAmbientes[NOME_AMBIENTE],tblAmbientes[ID],"")</f>
        <v/>
      </c>
      <c r="D242" t="str">
        <f>_xlfn.XLOOKUP(tblOcupacao[[#This Row],[TURNO]],tblTurnos[TURNO],tblTurnos[ID_TURNO],"")</f>
        <v/>
      </c>
      <c r="H242" s="35" t="e">
        <f t="shared" si="5"/>
        <v>#DIV/0!</v>
      </c>
      <c r="I2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3" spans="1:9" x14ac:dyDescent="0.35">
      <c r="A243" s="2"/>
      <c r="B243" t="str">
        <f>_xlfn.XLOOKUP(tblOcupacao[[#This Row],[AMBIENTE]],tblAmbientes[NOME_AMBIENTE],tblAmbientes[ID],"")</f>
        <v/>
      </c>
      <c r="D243" t="str">
        <f>_xlfn.XLOOKUP(tblOcupacao[[#This Row],[TURNO]],tblTurnos[TURNO],tblTurnos[ID_TURNO],"")</f>
        <v/>
      </c>
      <c r="H243" s="35" t="e">
        <f t="shared" si="5"/>
        <v>#DIV/0!</v>
      </c>
      <c r="I2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4" spans="1:9" x14ac:dyDescent="0.35">
      <c r="A244" s="2"/>
      <c r="B244" t="str">
        <f>_xlfn.XLOOKUP(tblOcupacao[[#This Row],[AMBIENTE]],tblAmbientes[NOME_AMBIENTE],tblAmbientes[ID],"")</f>
        <v/>
      </c>
      <c r="D244" t="str">
        <f>_xlfn.XLOOKUP(tblOcupacao[[#This Row],[TURNO]],tblTurnos[TURNO],tblTurnos[ID_TURNO],"")</f>
        <v/>
      </c>
      <c r="H244" s="35" t="e">
        <f t="shared" si="5"/>
        <v>#DIV/0!</v>
      </c>
      <c r="I2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5" spans="1:9" x14ac:dyDescent="0.35">
      <c r="A245" s="2"/>
      <c r="B245" t="str">
        <f>_xlfn.XLOOKUP(tblOcupacao[[#This Row],[AMBIENTE]],tblAmbientes[NOME_AMBIENTE],tblAmbientes[ID],"")</f>
        <v/>
      </c>
      <c r="D245" t="str">
        <f>_xlfn.XLOOKUP(tblOcupacao[[#This Row],[TURNO]],tblTurnos[TURNO],tblTurnos[ID_TURNO],"")</f>
        <v/>
      </c>
      <c r="H245" s="35" t="e">
        <f t="shared" si="5"/>
        <v>#DIV/0!</v>
      </c>
      <c r="I2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6" spans="1:9" x14ac:dyDescent="0.35">
      <c r="A246" s="2"/>
      <c r="B246" t="str">
        <f>_xlfn.XLOOKUP(tblOcupacao[[#This Row],[AMBIENTE]],tblAmbientes[NOME_AMBIENTE],tblAmbientes[ID],"")</f>
        <v/>
      </c>
      <c r="D246" t="str">
        <f>_xlfn.XLOOKUP(tblOcupacao[[#This Row],[TURNO]],tblTurnos[TURNO],tblTurnos[ID_TURNO],"")</f>
        <v/>
      </c>
      <c r="H246" s="35" t="e">
        <f t="shared" si="5"/>
        <v>#DIV/0!</v>
      </c>
      <c r="I2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7" spans="1:9" x14ac:dyDescent="0.35">
      <c r="A247" s="2"/>
      <c r="B247" t="str">
        <f>_xlfn.XLOOKUP(tblOcupacao[[#This Row],[AMBIENTE]],tblAmbientes[NOME_AMBIENTE],tblAmbientes[ID],"")</f>
        <v/>
      </c>
      <c r="D247" t="str">
        <f>_xlfn.XLOOKUP(tblOcupacao[[#This Row],[TURNO]],tblTurnos[TURNO],tblTurnos[ID_TURNO],"")</f>
        <v/>
      </c>
      <c r="H247" s="35" t="e">
        <f t="shared" si="5"/>
        <v>#DIV/0!</v>
      </c>
      <c r="I2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8" spans="1:9" x14ac:dyDescent="0.35">
      <c r="A248" s="2"/>
      <c r="B248" t="str">
        <f>_xlfn.XLOOKUP(tblOcupacao[[#This Row],[AMBIENTE]],tblAmbientes[NOME_AMBIENTE],tblAmbientes[ID],"")</f>
        <v/>
      </c>
      <c r="D248" t="str">
        <f>_xlfn.XLOOKUP(tblOcupacao[[#This Row],[TURNO]],tblTurnos[TURNO],tblTurnos[ID_TURNO],"")</f>
        <v/>
      </c>
      <c r="H248" s="35" t="e">
        <f t="shared" si="5"/>
        <v>#DIV/0!</v>
      </c>
      <c r="I2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9" spans="1:9" x14ac:dyDescent="0.35">
      <c r="A249" s="2"/>
      <c r="B249" t="str">
        <f>_xlfn.XLOOKUP(tblOcupacao[[#This Row],[AMBIENTE]],tblAmbientes[NOME_AMBIENTE],tblAmbientes[ID],"")</f>
        <v/>
      </c>
      <c r="D249" t="str">
        <f>_xlfn.XLOOKUP(tblOcupacao[[#This Row],[TURNO]],tblTurnos[TURNO],tblTurnos[ID_TURNO],"")</f>
        <v/>
      </c>
      <c r="H249" s="35" t="e">
        <f t="shared" si="5"/>
        <v>#DIV/0!</v>
      </c>
      <c r="I2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0" spans="1:9" x14ac:dyDescent="0.35">
      <c r="A250" s="2"/>
      <c r="B250" t="str">
        <f>_xlfn.XLOOKUP(tblOcupacao[[#This Row],[AMBIENTE]],tblAmbientes[NOME_AMBIENTE],tblAmbientes[ID],"")</f>
        <v/>
      </c>
      <c r="D250" t="str">
        <f>_xlfn.XLOOKUP(tblOcupacao[[#This Row],[TURNO]],tblTurnos[TURNO],tblTurnos[ID_TURNO],"")</f>
        <v/>
      </c>
      <c r="H250" s="35" t="e">
        <f t="shared" si="5"/>
        <v>#DIV/0!</v>
      </c>
      <c r="I2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1" spans="1:9" x14ac:dyDescent="0.35">
      <c r="A251" s="2"/>
      <c r="B251" t="str">
        <f>_xlfn.XLOOKUP(tblOcupacao[[#This Row],[AMBIENTE]],tblAmbientes[NOME_AMBIENTE],tblAmbientes[ID],"")</f>
        <v/>
      </c>
      <c r="D251" t="str">
        <f>_xlfn.XLOOKUP(tblOcupacao[[#This Row],[TURNO]],tblTurnos[TURNO],tblTurnos[ID_TURNO],"")</f>
        <v/>
      </c>
      <c r="H251" s="35" t="e">
        <f t="shared" si="5"/>
        <v>#DIV/0!</v>
      </c>
      <c r="I2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2" spans="1:9" x14ac:dyDescent="0.35">
      <c r="A252" s="2"/>
      <c r="B252" t="str">
        <f>_xlfn.XLOOKUP(tblOcupacao[[#This Row],[AMBIENTE]],tblAmbientes[NOME_AMBIENTE],tblAmbientes[ID],"")</f>
        <v/>
      </c>
      <c r="D252" t="str">
        <f>_xlfn.XLOOKUP(tblOcupacao[[#This Row],[TURNO]],tblTurnos[TURNO],tblTurnos[ID_TURNO],"")</f>
        <v/>
      </c>
      <c r="H252" s="35" t="e">
        <f t="shared" si="5"/>
        <v>#DIV/0!</v>
      </c>
      <c r="I2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3" spans="1:9" x14ac:dyDescent="0.35">
      <c r="A253" s="2"/>
      <c r="B253" t="str">
        <f>_xlfn.XLOOKUP(tblOcupacao[[#This Row],[AMBIENTE]],tblAmbientes[NOME_AMBIENTE],tblAmbientes[ID],"")</f>
        <v/>
      </c>
      <c r="D253" t="str">
        <f>_xlfn.XLOOKUP(tblOcupacao[[#This Row],[TURNO]],tblTurnos[TURNO],tblTurnos[ID_TURNO],"")</f>
        <v/>
      </c>
      <c r="H253" s="35" t="e">
        <f t="shared" si="5"/>
        <v>#DIV/0!</v>
      </c>
      <c r="I2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4" spans="1:9" x14ac:dyDescent="0.35">
      <c r="A254" s="2"/>
      <c r="B254" t="str">
        <f>_xlfn.XLOOKUP(tblOcupacao[[#This Row],[AMBIENTE]],tblAmbientes[NOME_AMBIENTE],tblAmbientes[ID],"")</f>
        <v/>
      </c>
      <c r="D254" t="str">
        <f>_xlfn.XLOOKUP(tblOcupacao[[#This Row],[TURNO]],tblTurnos[TURNO],tblTurnos[ID_TURNO],"")</f>
        <v/>
      </c>
      <c r="H254" s="35" t="e">
        <f t="shared" si="5"/>
        <v>#DIV/0!</v>
      </c>
      <c r="I2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5" spans="1:9" x14ac:dyDescent="0.35">
      <c r="A255" s="2"/>
      <c r="B255" t="str">
        <f>_xlfn.XLOOKUP(tblOcupacao[[#This Row],[AMBIENTE]],tblAmbientes[NOME_AMBIENTE],tblAmbientes[ID],"")</f>
        <v/>
      </c>
      <c r="D255" t="str">
        <f>_xlfn.XLOOKUP(tblOcupacao[[#This Row],[TURNO]],tblTurnos[TURNO],tblTurnos[ID_TURNO],"")</f>
        <v/>
      </c>
      <c r="H255" s="35" t="e">
        <f t="shared" si="5"/>
        <v>#DIV/0!</v>
      </c>
      <c r="I2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6" spans="1:9" x14ac:dyDescent="0.35">
      <c r="A256" s="2"/>
      <c r="B256" t="str">
        <f>_xlfn.XLOOKUP(tblOcupacao[[#This Row],[AMBIENTE]],tblAmbientes[NOME_AMBIENTE],tblAmbientes[ID],"")</f>
        <v/>
      </c>
      <c r="D256" t="str">
        <f>_xlfn.XLOOKUP(tblOcupacao[[#This Row],[TURNO]],tblTurnos[TURNO],tblTurnos[ID_TURNO],"")</f>
        <v/>
      </c>
      <c r="H256" s="35" t="e">
        <f t="shared" si="5"/>
        <v>#DIV/0!</v>
      </c>
      <c r="I2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7" spans="1:9" x14ac:dyDescent="0.35">
      <c r="A257" s="2"/>
      <c r="B257" t="str">
        <f>_xlfn.XLOOKUP(tblOcupacao[[#This Row],[AMBIENTE]],tblAmbientes[NOME_AMBIENTE],tblAmbientes[ID],"")</f>
        <v/>
      </c>
      <c r="D257" t="str">
        <f>_xlfn.XLOOKUP(tblOcupacao[[#This Row],[TURNO]],tblTurnos[TURNO],tblTurnos[ID_TURNO],"")</f>
        <v/>
      </c>
      <c r="H257" s="35" t="e">
        <f t="shared" si="5"/>
        <v>#DIV/0!</v>
      </c>
      <c r="I2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8" spans="1:9" x14ac:dyDescent="0.35">
      <c r="A258" s="2"/>
      <c r="B258" t="str">
        <f>_xlfn.XLOOKUP(tblOcupacao[[#This Row],[AMBIENTE]],tblAmbientes[NOME_AMBIENTE],tblAmbientes[ID],"")</f>
        <v/>
      </c>
      <c r="D258" t="str">
        <f>_xlfn.XLOOKUP(tblOcupacao[[#This Row],[TURNO]],tblTurnos[TURNO],tblTurnos[ID_TURNO],"")</f>
        <v/>
      </c>
      <c r="H258" s="35" t="e">
        <f t="shared" si="5"/>
        <v>#DIV/0!</v>
      </c>
      <c r="I2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9" spans="1:9" x14ac:dyDescent="0.35">
      <c r="A259" s="2"/>
      <c r="B259" t="str">
        <f>_xlfn.XLOOKUP(tblOcupacao[[#This Row],[AMBIENTE]],tblAmbientes[NOME_AMBIENTE],tblAmbientes[ID],"")</f>
        <v/>
      </c>
      <c r="D259" t="str">
        <f>_xlfn.XLOOKUP(tblOcupacao[[#This Row],[TURNO]],tblTurnos[TURNO],tblTurnos[ID_TURNO],"")</f>
        <v/>
      </c>
      <c r="H259" s="35" t="e">
        <f t="shared" si="5"/>
        <v>#DIV/0!</v>
      </c>
      <c r="I2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0" spans="1:9" x14ac:dyDescent="0.35">
      <c r="A260" s="2"/>
      <c r="B260" t="str">
        <f>_xlfn.XLOOKUP(tblOcupacao[[#This Row],[AMBIENTE]],tblAmbientes[NOME_AMBIENTE],tblAmbientes[ID],"")</f>
        <v/>
      </c>
      <c r="D260" t="str">
        <f>_xlfn.XLOOKUP(tblOcupacao[[#This Row],[TURNO]],tblTurnos[TURNO],tblTurnos[ID_TURNO],"")</f>
        <v/>
      </c>
      <c r="H260" s="35" t="e">
        <f t="shared" si="5"/>
        <v>#DIV/0!</v>
      </c>
      <c r="I2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1" spans="1:9" x14ac:dyDescent="0.35">
      <c r="A261" s="2"/>
      <c r="B261" t="str">
        <f>_xlfn.XLOOKUP(tblOcupacao[[#This Row],[AMBIENTE]],tblAmbientes[NOME_AMBIENTE],tblAmbientes[ID],"")</f>
        <v/>
      </c>
      <c r="D261" t="str">
        <f>_xlfn.XLOOKUP(tblOcupacao[[#This Row],[TURNO]],tblTurnos[TURNO],tblTurnos[ID_TURNO],"")</f>
        <v/>
      </c>
      <c r="H261" s="35" t="e">
        <f t="shared" si="5"/>
        <v>#DIV/0!</v>
      </c>
      <c r="I2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2" spans="1:9" x14ac:dyDescent="0.35">
      <c r="A262" s="2"/>
      <c r="B262" t="str">
        <f>_xlfn.XLOOKUP(tblOcupacao[[#This Row],[AMBIENTE]],tblAmbientes[NOME_AMBIENTE],tblAmbientes[ID],"")</f>
        <v/>
      </c>
      <c r="D262" t="str">
        <f>_xlfn.XLOOKUP(tblOcupacao[[#This Row],[TURNO]],tblTurnos[TURNO],tblTurnos[ID_TURNO],"")</f>
        <v/>
      </c>
      <c r="H262" s="35" t="e">
        <f t="shared" si="5"/>
        <v>#DIV/0!</v>
      </c>
      <c r="I2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3" spans="1:9" x14ac:dyDescent="0.35">
      <c r="A263" s="2"/>
      <c r="B263" t="str">
        <f>_xlfn.XLOOKUP(tblOcupacao[[#This Row],[AMBIENTE]],tblAmbientes[NOME_AMBIENTE],tblAmbientes[ID],"")</f>
        <v/>
      </c>
      <c r="D263" t="str">
        <f>_xlfn.XLOOKUP(tblOcupacao[[#This Row],[TURNO]],tblTurnos[TURNO],tblTurnos[ID_TURNO],"")</f>
        <v/>
      </c>
      <c r="H263" s="35" t="e">
        <f t="shared" si="5"/>
        <v>#DIV/0!</v>
      </c>
      <c r="I2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4" spans="1:9" x14ac:dyDescent="0.35">
      <c r="A264" s="2"/>
      <c r="B264" t="str">
        <f>_xlfn.XLOOKUP(tblOcupacao[[#This Row],[AMBIENTE]],tblAmbientes[NOME_AMBIENTE],tblAmbientes[ID],"")</f>
        <v/>
      </c>
      <c r="D264" t="str">
        <f>_xlfn.XLOOKUP(tblOcupacao[[#This Row],[TURNO]],tblTurnos[TURNO],tblTurnos[ID_TURNO],"")</f>
        <v/>
      </c>
      <c r="H264" s="35" t="e">
        <f t="shared" si="5"/>
        <v>#DIV/0!</v>
      </c>
      <c r="I2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5" spans="1:9" x14ac:dyDescent="0.35">
      <c r="A265" s="2"/>
      <c r="B265" t="str">
        <f>_xlfn.XLOOKUP(tblOcupacao[[#This Row],[AMBIENTE]],tblAmbientes[NOME_AMBIENTE],tblAmbientes[ID],"")</f>
        <v/>
      </c>
      <c r="D265" t="str">
        <f>_xlfn.XLOOKUP(tblOcupacao[[#This Row],[TURNO]],tblTurnos[TURNO],tblTurnos[ID_TURNO],"")</f>
        <v/>
      </c>
      <c r="H265" s="35" t="e">
        <f t="shared" si="5"/>
        <v>#DIV/0!</v>
      </c>
      <c r="I2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6" spans="1:9" x14ac:dyDescent="0.35">
      <c r="A266" s="2"/>
      <c r="B266" t="str">
        <f>_xlfn.XLOOKUP(tblOcupacao[[#This Row],[AMBIENTE]],tblAmbientes[NOME_AMBIENTE],tblAmbientes[ID],"")</f>
        <v/>
      </c>
      <c r="D266" t="str">
        <f>_xlfn.XLOOKUP(tblOcupacao[[#This Row],[TURNO]],tblTurnos[TURNO],tblTurnos[ID_TURNO],"")</f>
        <v/>
      </c>
      <c r="H266" s="35" t="e">
        <f t="shared" si="5"/>
        <v>#DIV/0!</v>
      </c>
      <c r="I2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7" spans="1:9" x14ac:dyDescent="0.35">
      <c r="A267" s="2"/>
      <c r="B267" t="str">
        <f>_xlfn.XLOOKUP(tblOcupacao[[#This Row],[AMBIENTE]],tblAmbientes[NOME_AMBIENTE],tblAmbientes[ID],"")</f>
        <v/>
      </c>
      <c r="D267" t="str">
        <f>_xlfn.XLOOKUP(tblOcupacao[[#This Row],[TURNO]],tblTurnos[TURNO],tblTurnos[ID_TURNO],"")</f>
        <v/>
      </c>
      <c r="H267" s="35" t="e">
        <f t="shared" si="5"/>
        <v>#DIV/0!</v>
      </c>
      <c r="I2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8" spans="1:9" x14ac:dyDescent="0.35">
      <c r="A268" s="2"/>
      <c r="B268" t="str">
        <f>_xlfn.XLOOKUP(tblOcupacao[[#This Row],[AMBIENTE]],tblAmbientes[NOME_AMBIENTE],tblAmbientes[ID],"")</f>
        <v/>
      </c>
      <c r="D268" t="str">
        <f>_xlfn.XLOOKUP(tblOcupacao[[#This Row],[TURNO]],tblTurnos[TURNO],tblTurnos[ID_TURNO],"")</f>
        <v/>
      </c>
      <c r="H268" s="35" t="e">
        <f t="shared" si="5"/>
        <v>#DIV/0!</v>
      </c>
      <c r="I2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9" spans="1:9" x14ac:dyDescent="0.35">
      <c r="A269" s="2"/>
      <c r="B269" t="str">
        <f>_xlfn.XLOOKUP(tblOcupacao[[#This Row],[AMBIENTE]],tblAmbientes[NOME_AMBIENTE],tblAmbientes[ID],"")</f>
        <v/>
      </c>
      <c r="D269" t="str">
        <f>_xlfn.XLOOKUP(tblOcupacao[[#This Row],[TURNO]],tblTurnos[TURNO],tblTurnos[ID_TURNO],"")</f>
        <v/>
      </c>
      <c r="H269" s="35" t="e">
        <f t="shared" si="5"/>
        <v>#DIV/0!</v>
      </c>
      <c r="I2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0" spans="1:9" x14ac:dyDescent="0.35">
      <c r="A270" s="2"/>
      <c r="B270" t="str">
        <f>_xlfn.XLOOKUP(tblOcupacao[[#This Row],[AMBIENTE]],tblAmbientes[NOME_AMBIENTE],tblAmbientes[ID],"")</f>
        <v/>
      </c>
      <c r="D270" t="str">
        <f>_xlfn.XLOOKUP(tblOcupacao[[#This Row],[TURNO]],tblTurnos[TURNO],tblTurnos[ID_TURNO],"")</f>
        <v/>
      </c>
      <c r="H270" s="35" t="e">
        <f t="shared" si="5"/>
        <v>#DIV/0!</v>
      </c>
      <c r="I2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1" spans="1:9" x14ac:dyDescent="0.35">
      <c r="A271" s="2"/>
      <c r="B271" t="str">
        <f>_xlfn.XLOOKUP(tblOcupacao[[#This Row],[AMBIENTE]],tblAmbientes[NOME_AMBIENTE],tblAmbientes[ID],"")</f>
        <v/>
      </c>
      <c r="D271" t="str">
        <f>_xlfn.XLOOKUP(tblOcupacao[[#This Row],[TURNO]],tblTurnos[TURNO],tblTurnos[ID_TURNO],"")</f>
        <v/>
      </c>
      <c r="H271" s="35" t="e">
        <f t="shared" si="5"/>
        <v>#DIV/0!</v>
      </c>
      <c r="I2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2" spans="1:9" x14ac:dyDescent="0.35">
      <c r="A272" s="2"/>
      <c r="B272" t="str">
        <f>_xlfn.XLOOKUP(tblOcupacao[[#This Row],[AMBIENTE]],tblAmbientes[NOME_AMBIENTE],tblAmbientes[ID],"")</f>
        <v/>
      </c>
      <c r="D272" t="str">
        <f>_xlfn.XLOOKUP(tblOcupacao[[#This Row],[TURNO]],tblTurnos[TURNO],tblTurnos[ID_TURNO],"")</f>
        <v/>
      </c>
      <c r="H272" s="35" t="e">
        <f t="shared" si="5"/>
        <v>#DIV/0!</v>
      </c>
      <c r="I2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3" spans="1:9" x14ac:dyDescent="0.35">
      <c r="A273" s="2"/>
      <c r="B273" t="str">
        <f>_xlfn.XLOOKUP(tblOcupacao[[#This Row],[AMBIENTE]],tblAmbientes[NOME_AMBIENTE],tblAmbientes[ID],"")</f>
        <v/>
      </c>
      <c r="D273" t="str">
        <f>_xlfn.XLOOKUP(tblOcupacao[[#This Row],[TURNO]],tblTurnos[TURNO],tblTurnos[ID_TURNO],"")</f>
        <v/>
      </c>
      <c r="H273" s="35" t="e">
        <f t="shared" si="5"/>
        <v>#DIV/0!</v>
      </c>
      <c r="I2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4" spans="1:9" x14ac:dyDescent="0.35">
      <c r="A274" s="2"/>
      <c r="B274" t="str">
        <f>_xlfn.XLOOKUP(tblOcupacao[[#This Row],[AMBIENTE]],tblAmbientes[NOME_AMBIENTE],tblAmbientes[ID],"")</f>
        <v/>
      </c>
      <c r="D274" t="str">
        <f>_xlfn.XLOOKUP(tblOcupacao[[#This Row],[TURNO]],tblTurnos[TURNO],tblTurnos[ID_TURNO],"")</f>
        <v/>
      </c>
      <c r="H274" s="35" t="e">
        <f t="shared" si="5"/>
        <v>#DIV/0!</v>
      </c>
      <c r="I2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5" spans="1:9" x14ac:dyDescent="0.35">
      <c r="A275" s="2"/>
      <c r="B275" t="str">
        <f>_xlfn.XLOOKUP(tblOcupacao[[#This Row],[AMBIENTE]],tblAmbientes[NOME_AMBIENTE],tblAmbientes[ID],"")</f>
        <v/>
      </c>
      <c r="D275" t="str">
        <f>_xlfn.XLOOKUP(tblOcupacao[[#This Row],[TURNO]],tblTurnos[TURNO],tblTurnos[ID_TURNO],"")</f>
        <v/>
      </c>
      <c r="H275" s="35" t="e">
        <f t="shared" si="5"/>
        <v>#DIV/0!</v>
      </c>
      <c r="I2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6" spans="1:9" x14ac:dyDescent="0.35">
      <c r="A276" s="2"/>
      <c r="B276" t="str">
        <f>_xlfn.XLOOKUP(tblOcupacao[[#This Row],[AMBIENTE]],tblAmbientes[NOME_AMBIENTE],tblAmbientes[ID],"")</f>
        <v/>
      </c>
      <c r="D276" t="str">
        <f>_xlfn.XLOOKUP(tblOcupacao[[#This Row],[TURNO]],tblTurnos[TURNO],tblTurnos[ID_TURNO],"")</f>
        <v/>
      </c>
      <c r="H276" s="35" t="e">
        <f t="shared" si="5"/>
        <v>#DIV/0!</v>
      </c>
      <c r="I2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7" spans="1:9" x14ac:dyDescent="0.35">
      <c r="A277" s="2"/>
      <c r="B277" t="str">
        <f>_xlfn.XLOOKUP(tblOcupacao[[#This Row],[AMBIENTE]],tblAmbientes[NOME_AMBIENTE],tblAmbientes[ID],"")</f>
        <v/>
      </c>
      <c r="D277" t="str">
        <f>_xlfn.XLOOKUP(tblOcupacao[[#This Row],[TURNO]],tblTurnos[TURNO],tblTurnos[ID_TURNO],"")</f>
        <v/>
      </c>
      <c r="H277" s="35" t="e">
        <f t="shared" si="5"/>
        <v>#DIV/0!</v>
      </c>
      <c r="I2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8" spans="1:9" x14ac:dyDescent="0.35">
      <c r="A278" s="2"/>
      <c r="B278" t="str">
        <f>_xlfn.XLOOKUP(tblOcupacao[[#This Row],[AMBIENTE]],tblAmbientes[NOME_AMBIENTE],tblAmbientes[ID],"")</f>
        <v/>
      </c>
      <c r="D278" t="str">
        <f>_xlfn.XLOOKUP(tblOcupacao[[#This Row],[TURNO]],tblTurnos[TURNO],tblTurnos[ID_TURNO],"")</f>
        <v/>
      </c>
      <c r="H278" s="35" t="e">
        <f t="shared" ref="H278:H341" si="6">$F278/$G278</f>
        <v>#DIV/0!</v>
      </c>
      <c r="I2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9" spans="1:9" x14ac:dyDescent="0.35">
      <c r="A279" s="2"/>
      <c r="B279" t="str">
        <f>_xlfn.XLOOKUP(tblOcupacao[[#This Row],[AMBIENTE]],tblAmbientes[NOME_AMBIENTE],tblAmbientes[ID],"")</f>
        <v/>
      </c>
      <c r="D279" t="str">
        <f>_xlfn.XLOOKUP(tblOcupacao[[#This Row],[TURNO]],tblTurnos[TURNO],tblTurnos[ID_TURNO],"")</f>
        <v/>
      </c>
      <c r="H279" s="35" t="e">
        <f t="shared" si="6"/>
        <v>#DIV/0!</v>
      </c>
      <c r="I2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0" spans="1:9" x14ac:dyDescent="0.35">
      <c r="A280" s="2"/>
      <c r="B280" t="str">
        <f>_xlfn.XLOOKUP(tblOcupacao[[#This Row],[AMBIENTE]],tblAmbientes[NOME_AMBIENTE],tblAmbientes[ID],"")</f>
        <v/>
      </c>
      <c r="D280" t="str">
        <f>_xlfn.XLOOKUP(tblOcupacao[[#This Row],[TURNO]],tblTurnos[TURNO],tblTurnos[ID_TURNO],"")</f>
        <v/>
      </c>
      <c r="H280" s="35" t="e">
        <f t="shared" si="6"/>
        <v>#DIV/0!</v>
      </c>
      <c r="I2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1" spans="1:9" x14ac:dyDescent="0.35">
      <c r="A281" s="2"/>
      <c r="B281" t="str">
        <f>_xlfn.XLOOKUP(tblOcupacao[[#This Row],[AMBIENTE]],tblAmbientes[NOME_AMBIENTE],tblAmbientes[ID],"")</f>
        <v/>
      </c>
      <c r="D281" t="str">
        <f>_xlfn.XLOOKUP(tblOcupacao[[#This Row],[TURNO]],tblTurnos[TURNO],tblTurnos[ID_TURNO],"")</f>
        <v/>
      </c>
      <c r="H281" s="35" t="e">
        <f t="shared" si="6"/>
        <v>#DIV/0!</v>
      </c>
      <c r="I2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2" spans="1:9" x14ac:dyDescent="0.35">
      <c r="A282" s="2"/>
      <c r="B282" t="str">
        <f>_xlfn.XLOOKUP(tblOcupacao[[#This Row],[AMBIENTE]],tblAmbientes[NOME_AMBIENTE],tblAmbientes[ID],"")</f>
        <v/>
      </c>
      <c r="D282" t="str">
        <f>_xlfn.XLOOKUP(tblOcupacao[[#This Row],[TURNO]],tblTurnos[TURNO],tblTurnos[ID_TURNO],"")</f>
        <v/>
      </c>
      <c r="H282" s="35" t="e">
        <f t="shared" si="6"/>
        <v>#DIV/0!</v>
      </c>
      <c r="I2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3" spans="1:9" x14ac:dyDescent="0.35">
      <c r="A283" s="2"/>
      <c r="B283" t="str">
        <f>_xlfn.XLOOKUP(tblOcupacao[[#This Row],[AMBIENTE]],tblAmbientes[NOME_AMBIENTE],tblAmbientes[ID],"")</f>
        <v/>
      </c>
      <c r="D283" t="str">
        <f>_xlfn.XLOOKUP(tblOcupacao[[#This Row],[TURNO]],tblTurnos[TURNO],tblTurnos[ID_TURNO],"")</f>
        <v/>
      </c>
      <c r="H283" s="35" t="e">
        <f t="shared" si="6"/>
        <v>#DIV/0!</v>
      </c>
      <c r="I2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4" spans="1:9" x14ac:dyDescent="0.35">
      <c r="A284" s="2"/>
      <c r="B284" t="str">
        <f>_xlfn.XLOOKUP(tblOcupacao[[#This Row],[AMBIENTE]],tblAmbientes[NOME_AMBIENTE],tblAmbientes[ID],"")</f>
        <v/>
      </c>
      <c r="D284" t="str">
        <f>_xlfn.XLOOKUP(tblOcupacao[[#This Row],[TURNO]],tblTurnos[TURNO],tblTurnos[ID_TURNO],"")</f>
        <v/>
      </c>
      <c r="H284" s="35" t="e">
        <f t="shared" si="6"/>
        <v>#DIV/0!</v>
      </c>
      <c r="I2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5" spans="1:9" x14ac:dyDescent="0.35">
      <c r="A285" s="2"/>
      <c r="B285" t="str">
        <f>_xlfn.XLOOKUP(tblOcupacao[[#This Row],[AMBIENTE]],tblAmbientes[NOME_AMBIENTE],tblAmbientes[ID],"")</f>
        <v/>
      </c>
      <c r="D285" t="str">
        <f>_xlfn.XLOOKUP(tblOcupacao[[#This Row],[TURNO]],tblTurnos[TURNO],tblTurnos[ID_TURNO],"")</f>
        <v/>
      </c>
      <c r="H285" s="35" t="e">
        <f t="shared" si="6"/>
        <v>#DIV/0!</v>
      </c>
      <c r="I2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6" spans="1:9" x14ac:dyDescent="0.35">
      <c r="A286" s="2"/>
      <c r="B286" t="str">
        <f>_xlfn.XLOOKUP(tblOcupacao[[#This Row],[AMBIENTE]],tblAmbientes[NOME_AMBIENTE],tblAmbientes[ID],"")</f>
        <v/>
      </c>
      <c r="D286" t="str">
        <f>_xlfn.XLOOKUP(tblOcupacao[[#This Row],[TURNO]],tblTurnos[TURNO],tblTurnos[ID_TURNO],"")</f>
        <v/>
      </c>
      <c r="H286" s="35" t="e">
        <f t="shared" si="6"/>
        <v>#DIV/0!</v>
      </c>
      <c r="I2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7" spans="1:9" x14ac:dyDescent="0.35">
      <c r="A287" s="2"/>
      <c r="B287" t="str">
        <f>_xlfn.XLOOKUP(tblOcupacao[[#This Row],[AMBIENTE]],tblAmbientes[NOME_AMBIENTE],tblAmbientes[ID],"")</f>
        <v/>
      </c>
      <c r="D287" t="str">
        <f>_xlfn.XLOOKUP(tblOcupacao[[#This Row],[TURNO]],tblTurnos[TURNO],tblTurnos[ID_TURNO],"")</f>
        <v/>
      </c>
      <c r="H287" s="35" t="e">
        <f t="shared" si="6"/>
        <v>#DIV/0!</v>
      </c>
      <c r="I2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8" spans="1:9" x14ac:dyDescent="0.35">
      <c r="A288" s="2"/>
      <c r="B288" t="str">
        <f>_xlfn.XLOOKUP(tblOcupacao[[#This Row],[AMBIENTE]],tblAmbientes[NOME_AMBIENTE],tblAmbientes[ID],"")</f>
        <v/>
      </c>
      <c r="D288" t="str">
        <f>_xlfn.XLOOKUP(tblOcupacao[[#This Row],[TURNO]],tblTurnos[TURNO],tblTurnos[ID_TURNO],"")</f>
        <v/>
      </c>
      <c r="H288" s="35" t="e">
        <f t="shared" si="6"/>
        <v>#DIV/0!</v>
      </c>
      <c r="I2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9" spans="1:9" x14ac:dyDescent="0.35">
      <c r="A289" s="2"/>
      <c r="B289" t="str">
        <f>_xlfn.XLOOKUP(tblOcupacao[[#This Row],[AMBIENTE]],tblAmbientes[NOME_AMBIENTE],tblAmbientes[ID],"")</f>
        <v/>
      </c>
      <c r="D289" t="str">
        <f>_xlfn.XLOOKUP(tblOcupacao[[#This Row],[TURNO]],tblTurnos[TURNO],tblTurnos[ID_TURNO],"")</f>
        <v/>
      </c>
      <c r="H289" s="35" t="e">
        <f t="shared" si="6"/>
        <v>#DIV/0!</v>
      </c>
      <c r="I2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0" spans="1:9" x14ac:dyDescent="0.35">
      <c r="A290" s="2"/>
      <c r="B290" t="str">
        <f>_xlfn.XLOOKUP(tblOcupacao[[#This Row],[AMBIENTE]],tblAmbientes[NOME_AMBIENTE],tblAmbientes[ID],"")</f>
        <v/>
      </c>
      <c r="D290" t="str">
        <f>_xlfn.XLOOKUP(tblOcupacao[[#This Row],[TURNO]],tblTurnos[TURNO],tblTurnos[ID_TURNO],"")</f>
        <v/>
      </c>
      <c r="H290" s="35" t="e">
        <f t="shared" si="6"/>
        <v>#DIV/0!</v>
      </c>
      <c r="I2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1" spans="1:9" x14ac:dyDescent="0.35">
      <c r="A291" s="2"/>
      <c r="B291" t="str">
        <f>_xlfn.XLOOKUP(tblOcupacao[[#This Row],[AMBIENTE]],tblAmbientes[NOME_AMBIENTE],tblAmbientes[ID],"")</f>
        <v/>
      </c>
      <c r="D291" t="str">
        <f>_xlfn.XLOOKUP(tblOcupacao[[#This Row],[TURNO]],tblTurnos[TURNO],tblTurnos[ID_TURNO],"")</f>
        <v/>
      </c>
      <c r="H291" s="35" t="e">
        <f t="shared" si="6"/>
        <v>#DIV/0!</v>
      </c>
      <c r="I2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2" spans="1:9" x14ac:dyDescent="0.35">
      <c r="A292" s="2"/>
      <c r="B292" t="str">
        <f>_xlfn.XLOOKUP(tblOcupacao[[#This Row],[AMBIENTE]],tblAmbientes[NOME_AMBIENTE],tblAmbientes[ID],"")</f>
        <v/>
      </c>
      <c r="D292" t="str">
        <f>_xlfn.XLOOKUP(tblOcupacao[[#This Row],[TURNO]],tblTurnos[TURNO],tblTurnos[ID_TURNO],"")</f>
        <v/>
      </c>
      <c r="H292" s="35" t="e">
        <f t="shared" si="6"/>
        <v>#DIV/0!</v>
      </c>
      <c r="I2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3" spans="1:9" x14ac:dyDescent="0.35">
      <c r="A293" s="2"/>
      <c r="B293" t="str">
        <f>_xlfn.XLOOKUP(tblOcupacao[[#This Row],[AMBIENTE]],tblAmbientes[NOME_AMBIENTE],tblAmbientes[ID],"")</f>
        <v/>
      </c>
      <c r="D293" t="str">
        <f>_xlfn.XLOOKUP(tblOcupacao[[#This Row],[TURNO]],tblTurnos[TURNO],tblTurnos[ID_TURNO],"")</f>
        <v/>
      </c>
      <c r="H293" s="35" t="e">
        <f t="shared" si="6"/>
        <v>#DIV/0!</v>
      </c>
      <c r="I2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4" spans="1:9" x14ac:dyDescent="0.35">
      <c r="A294" s="2"/>
      <c r="B294" t="str">
        <f>_xlfn.XLOOKUP(tblOcupacao[[#This Row],[AMBIENTE]],tblAmbientes[NOME_AMBIENTE],tblAmbientes[ID],"")</f>
        <v/>
      </c>
      <c r="D294" t="str">
        <f>_xlfn.XLOOKUP(tblOcupacao[[#This Row],[TURNO]],tblTurnos[TURNO],tblTurnos[ID_TURNO],"")</f>
        <v/>
      </c>
      <c r="H294" s="35" t="e">
        <f t="shared" si="6"/>
        <v>#DIV/0!</v>
      </c>
      <c r="I2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5" spans="1:9" x14ac:dyDescent="0.35">
      <c r="A295" s="2"/>
      <c r="B295" t="str">
        <f>_xlfn.XLOOKUP(tblOcupacao[[#This Row],[AMBIENTE]],tblAmbientes[NOME_AMBIENTE],tblAmbientes[ID],"")</f>
        <v/>
      </c>
      <c r="D295" t="str">
        <f>_xlfn.XLOOKUP(tblOcupacao[[#This Row],[TURNO]],tblTurnos[TURNO],tblTurnos[ID_TURNO],"")</f>
        <v/>
      </c>
      <c r="H295" s="35" t="e">
        <f t="shared" si="6"/>
        <v>#DIV/0!</v>
      </c>
      <c r="I2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6" spans="1:9" x14ac:dyDescent="0.35">
      <c r="A296" s="2"/>
      <c r="B296" t="str">
        <f>_xlfn.XLOOKUP(tblOcupacao[[#This Row],[AMBIENTE]],tblAmbientes[NOME_AMBIENTE],tblAmbientes[ID],"")</f>
        <v/>
      </c>
      <c r="D296" t="str">
        <f>_xlfn.XLOOKUP(tblOcupacao[[#This Row],[TURNO]],tblTurnos[TURNO],tblTurnos[ID_TURNO],"")</f>
        <v/>
      </c>
      <c r="H296" s="35" t="e">
        <f t="shared" si="6"/>
        <v>#DIV/0!</v>
      </c>
      <c r="I2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7" spans="1:9" x14ac:dyDescent="0.35">
      <c r="A297" s="2"/>
      <c r="B297" t="str">
        <f>_xlfn.XLOOKUP(tblOcupacao[[#This Row],[AMBIENTE]],tblAmbientes[NOME_AMBIENTE],tblAmbientes[ID],"")</f>
        <v/>
      </c>
      <c r="D297" t="str">
        <f>_xlfn.XLOOKUP(tblOcupacao[[#This Row],[TURNO]],tblTurnos[TURNO],tblTurnos[ID_TURNO],"")</f>
        <v/>
      </c>
      <c r="H297" s="35" t="e">
        <f t="shared" si="6"/>
        <v>#DIV/0!</v>
      </c>
      <c r="I2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8" spans="1:9" x14ac:dyDescent="0.35">
      <c r="A298" s="2"/>
      <c r="B298" t="str">
        <f>_xlfn.XLOOKUP(tblOcupacao[[#This Row],[AMBIENTE]],tblAmbientes[NOME_AMBIENTE],tblAmbientes[ID],"")</f>
        <v/>
      </c>
      <c r="D298" t="str">
        <f>_xlfn.XLOOKUP(tblOcupacao[[#This Row],[TURNO]],tblTurnos[TURNO],tblTurnos[ID_TURNO],"")</f>
        <v/>
      </c>
      <c r="H298" s="35" t="e">
        <f t="shared" si="6"/>
        <v>#DIV/0!</v>
      </c>
      <c r="I2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9" spans="1:9" x14ac:dyDescent="0.35">
      <c r="A299" s="2"/>
      <c r="B299" t="str">
        <f>_xlfn.XLOOKUP(tblOcupacao[[#This Row],[AMBIENTE]],tblAmbientes[NOME_AMBIENTE],tblAmbientes[ID],"")</f>
        <v/>
      </c>
      <c r="D299" t="str">
        <f>_xlfn.XLOOKUP(tblOcupacao[[#This Row],[TURNO]],tblTurnos[TURNO],tblTurnos[ID_TURNO],"")</f>
        <v/>
      </c>
      <c r="H299" s="35" t="e">
        <f t="shared" si="6"/>
        <v>#DIV/0!</v>
      </c>
      <c r="I2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0" spans="1:9" x14ac:dyDescent="0.35">
      <c r="A300" s="2"/>
      <c r="B300" t="str">
        <f>_xlfn.XLOOKUP(tblOcupacao[[#This Row],[AMBIENTE]],tblAmbientes[NOME_AMBIENTE],tblAmbientes[ID],"")</f>
        <v/>
      </c>
      <c r="D300" t="str">
        <f>_xlfn.XLOOKUP(tblOcupacao[[#This Row],[TURNO]],tblTurnos[TURNO],tblTurnos[ID_TURNO],"")</f>
        <v/>
      </c>
      <c r="H300" s="35" t="e">
        <f t="shared" si="6"/>
        <v>#DIV/0!</v>
      </c>
      <c r="I3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1" spans="1:9" x14ac:dyDescent="0.35">
      <c r="A301" s="2"/>
      <c r="B301" t="str">
        <f>_xlfn.XLOOKUP(tblOcupacao[[#This Row],[AMBIENTE]],tblAmbientes[NOME_AMBIENTE],tblAmbientes[ID],"")</f>
        <v/>
      </c>
      <c r="D301" t="str">
        <f>_xlfn.XLOOKUP(tblOcupacao[[#This Row],[TURNO]],tblTurnos[TURNO],tblTurnos[ID_TURNO],"")</f>
        <v/>
      </c>
      <c r="H301" s="35" t="e">
        <f t="shared" si="6"/>
        <v>#DIV/0!</v>
      </c>
      <c r="I3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2" spans="1:9" x14ac:dyDescent="0.35">
      <c r="A302" s="2"/>
      <c r="B302" t="str">
        <f>_xlfn.XLOOKUP(tblOcupacao[[#This Row],[AMBIENTE]],tblAmbientes[NOME_AMBIENTE],tblAmbientes[ID],"")</f>
        <v/>
      </c>
      <c r="D302" t="str">
        <f>_xlfn.XLOOKUP(tblOcupacao[[#This Row],[TURNO]],tblTurnos[TURNO],tblTurnos[ID_TURNO],"")</f>
        <v/>
      </c>
      <c r="H302" s="35" t="e">
        <f t="shared" si="6"/>
        <v>#DIV/0!</v>
      </c>
      <c r="I3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3" spans="1:9" x14ac:dyDescent="0.35">
      <c r="A303" s="2"/>
      <c r="B303" t="str">
        <f>_xlfn.XLOOKUP(tblOcupacao[[#This Row],[AMBIENTE]],tblAmbientes[NOME_AMBIENTE],tblAmbientes[ID],"")</f>
        <v/>
      </c>
      <c r="D303" t="str">
        <f>_xlfn.XLOOKUP(tblOcupacao[[#This Row],[TURNO]],tblTurnos[TURNO],tblTurnos[ID_TURNO],"")</f>
        <v/>
      </c>
      <c r="H303" s="35" t="e">
        <f t="shared" si="6"/>
        <v>#DIV/0!</v>
      </c>
      <c r="I3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4" spans="1:9" x14ac:dyDescent="0.35">
      <c r="A304" s="2"/>
      <c r="B304" t="str">
        <f>_xlfn.XLOOKUP(tblOcupacao[[#This Row],[AMBIENTE]],tblAmbientes[NOME_AMBIENTE],tblAmbientes[ID],"")</f>
        <v/>
      </c>
      <c r="D304" t="str">
        <f>_xlfn.XLOOKUP(tblOcupacao[[#This Row],[TURNO]],tblTurnos[TURNO],tblTurnos[ID_TURNO],"")</f>
        <v/>
      </c>
      <c r="H304" s="35" t="e">
        <f t="shared" si="6"/>
        <v>#DIV/0!</v>
      </c>
      <c r="I3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5" spans="1:9" x14ac:dyDescent="0.35">
      <c r="A305" s="2"/>
      <c r="B305" t="str">
        <f>_xlfn.XLOOKUP(tblOcupacao[[#This Row],[AMBIENTE]],tblAmbientes[NOME_AMBIENTE],tblAmbientes[ID],"")</f>
        <v/>
      </c>
      <c r="D305" t="str">
        <f>_xlfn.XLOOKUP(tblOcupacao[[#This Row],[TURNO]],tblTurnos[TURNO],tblTurnos[ID_TURNO],"")</f>
        <v/>
      </c>
      <c r="H305" s="35" t="e">
        <f t="shared" si="6"/>
        <v>#DIV/0!</v>
      </c>
      <c r="I3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6" spans="1:9" x14ac:dyDescent="0.35">
      <c r="A306" s="2"/>
      <c r="B306" t="str">
        <f>_xlfn.XLOOKUP(tblOcupacao[[#This Row],[AMBIENTE]],tblAmbientes[NOME_AMBIENTE],tblAmbientes[ID],"")</f>
        <v/>
      </c>
      <c r="D306" t="str">
        <f>_xlfn.XLOOKUP(tblOcupacao[[#This Row],[TURNO]],tblTurnos[TURNO],tblTurnos[ID_TURNO],"")</f>
        <v/>
      </c>
      <c r="H306" s="35" t="e">
        <f t="shared" si="6"/>
        <v>#DIV/0!</v>
      </c>
      <c r="I3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7" spans="1:9" x14ac:dyDescent="0.35">
      <c r="A307" s="2"/>
      <c r="B307" t="str">
        <f>_xlfn.XLOOKUP(tblOcupacao[[#This Row],[AMBIENTE]],tblAmbientes[NOME_AMBIENTE],tblAmbientes[ID],"")</f>
        <v/>
      </c>
      <c r="D307" t="str">
        <f>_xlfn.XLOOKUP(tblOcupacao[[#This Row],[TURNO]],tblTurnos[TURNO],tblTurnos[ID_TURNO],"")</f>
        <v/>
      </c>
      <c r="H307" s="35" t="e">
        <f t="shared" si="6"/>
        <v>#DIV/0!</v>
      </c>
      <c r="I3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8" spans="1:9" x14ac:dyDescent="0.35">
      <c r="A308" s="2"/>
      <c r="B308" t="str">
        <f>_xlfn.XLOOKUP(tblOcupacao[[#This Row],[AMBIENTE]],tblAmbientes[NOME_AMBIENTE],tblAmbientes[ID],"")</f>
        <v/>
      </c>
      <c r="D308" t="str">
        <f>_xlfn.XLOOKUP(tblOcupacao[[#This Row],[TURNO]],tblTurnos[TURNO],tblTurnos[ID_TURNO],"")</f>
        <v/>
      </c>
      <c r="H308" s="35" t="e">
        <f t="shared" si="6"/>
        <v>#DIV/0!</v>
      </c>
      <c r="I3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9" spans="1:9" x14ac:dyDescent="0.35">
      <c r="A309" s="2"/>
      <c r="B309" t="str">
        <f>_xlfn.XLOOKUP(tblOcupacao[[#This Row],[AMBIENTE]],tblAmbientes[NOME_AMBIENTE],tblAmbientes[ID],"")</f>
        <v/>
      </c>
      <c r="D309" t="str">
        <f>_xlfn.XLOOKUP(tblOcupacao[[#This Row],[TURNO]],tblTurnos[TURNO],tblTurnos[ID_TURNO],"")</f>
        <v/>
      </c>
      <c r="H309" s="35" t="e">
        <f t="shared" si="6"/>
        <v>#DIV/0!</v>
      </c>
      <c r="I3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0" spans="1:9" x14ac:dyDescent="0.35">
      <c r="A310" s="2"/>
      <c r="B310" t="str">
        <f>_xlfn.XLOOKUP(tblOcupacao[[#This Row],[AMBIENTE]],tblAmbientes[NOME_AMBIENTE],tblAmbientes[ID],"")</f>
        <v/>
      </c>
      <c r="D310" t="str">
        <f>_xlfn.XLOOKUP(tblOcupacao[[#This Row],[TURNO]],tblTurnos[TURNO],tblTurnos[ID_TURNO],"")</f>
        <v/>
      </c>
      <c r="H310" s="35" t="e">
        <f t="shared" si="6"/>
        <v>#DIV/0!</v>
      </c>
      <c r="I3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1" spans="1:9" x14ac:dyDescent="0.35">
      <c r="A311" s="2"/>
      <c r="B311" t="str">
        <f>_xlfn.XLOOKUP(tblOcupacao[[#This Row],[AMBIENTE]],tblAmbientes[NOME_AMBIENTE],tblAmbientes[ID],"")</f>
        <v/>
      </c>
      <c r="D311" t="str">
        <f>_xlfn.XLOOKUP(tblOcupacao[[#This Row],[TURNO]],tblTurnos[TURNO],tblTurnos[ID_TURNO],"")</f>
        <v/>
      </c>
      <c r="H311" s="35" t="e">
        <f t="shared" si="6"/>
        <v>#DIV/0!</v>
      </c>
      <c r="I3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2" spans="1:9" x14ac:dyDescent="0.35">
      <c r="A312" s="2"/>
      <c r="B312" t="str">
        <f>_xlfn.XLOOKUP(tblOcupacao[[#This Row],[AMBIENTE]],tblAmbientes[NOME_AMBIENTE],tblAmbientes[ID],"")</f>
        <v/>
      </c>
      <c r="D312" t="str">
        <f>_xlfn.XLOOKUP(tblOcupacao[[#This Row],[TURNO]],tblTurnos[TURNO],tblTurnos[ID_TURNO],"")</f>
        <v/>
      </c>
      <c r="H312" s="35" t="e">
        <f t="shared" si="6"/>
        <v>#DIV/0!</v>
      </c>
      <c r="I3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3" spans="1:9" x14ac:dyDescent="0.35">
      <c r="A313" s="2"/>
      <c r="B313" t="str">
        <f>_xlfn.XLOOKUP(tblOcupacao[[#This Row],[AMBIENTE]],tblAmbientes[NOME_AMBIENTE],tblAmbientes[ID],"")</f>
        <v/>
      </c>
      <c r="D313" t="str">
        <f>_xlfn.XLOOKUP(tblOcupacao[[#This Row],[TURNO]],tblTurnos[TURNO],tblTurnos[ID_TURNO],"")</f>
        <v/>
      </c>
      <c r="H313" s="35" t="e">
        <f t="shared" si="6"/>
        <v>#DIV/0!</v>
      </c>
      <c r="I3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4" spans="1:9" x14ac:dyDescent="0.35">
      <c r="A314" s="2"/>
      <c r="B314" t="str">
        <f>_xlfn.XLOOKUP(tblOcupacao[[#This Row],[AMBIENTE]],tblAmbientes[NOME_AMBIENTE],tblAmbientes[ID],"")</f>
        <v/>
      </c>
      <c r="D314" t="str">
        <f>_xlfn.XLOOKUP(tblOcupacao[[#This Row],[TURNO]],tblTurnos[TURNO],tblTurnos[ID_TURNO],"")</f>
        <v/>
      </c>
      <c r="H314" s="35" t="e">
        <f t="shared" si="6"/>
        <v>#DIV/0!</v>
      </c>
      <c r="I3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5" spans="1:9" x14ac:dyDescent="0.35">
      <c r="A315" s="2"/>
      <c r="B315" t="str">
        <f>_xlfn.XLOOKUP(tblOcupacao[[#This Row],[AMBIENTE]],tblAmbientes[NOME_AMBIENTE],tblAmbientes[ID],"")</f>
        <v/>
      </c>
      <c r="D315" t="str">
        <f>_xlfn.XLOOKUP(tblOcupacao[[#This Row],[TURNO]],tblTurnos[TURNO],tblTurnos[ID_TURNO],"")</f>
        <v/>
      </c>
      <c r="H315" s="35" t="e">
        <f t="shared" si="6"/>
        <v>#DIV/0!</v>
      </c>
      <c r="I3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6" spans="1:9" x14ac:dyDescent="0.35">
      <c r="A316" s="2"/>
      <c r="B316" t="str">
        <f>_xlfn.XLOOKUP(tblOcupacao[[#This Row],[AMBIENTE]],tblAmbientes[NOME_AMBIENTE],tblAmbientes[ID],"")</f>
        <v/>
      </c>
      <c r="D316" t="str">
        <f>_xlfn.XLOOKUP(tblOcupacao[[#This Row],[TURNO]],tblTurnos[TURNO],tblTurnos[ID_TURNO],"")</f>
        <v/>
      </c>
      <c r="H316" s="35" t="e">
        <f t="shared" si="6"/>
        <v>#DIV/0!</v>
      </c>
      <c r="I3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7" spans="1:9" x14ac:dyDescent="0.35">
      <c r="A317" s="2"/>
      <c r="B317" t="str">
        <f>_xlfn.XLOOKUP(tblOcupacao[[#This Row],[AMBIENTE]],tblAmbientes[NOME_AMBIENTE],tblAmbientes[ID],"")</f>
        <v/>
      </c>
      <c r="D317" t="str">
        <f>_xlfn.XLOOKUP(tblOcupacao[[#This Row],[TURNO]],tblTurnos[TURNO],tblTurnos[ID_TURNO],"")</f>
        <v/>
      </c>
      <c r="H317" s="35" t="e">
        <f t="shared" si="6"/>
        <v>#DIV/0!</v>
      </c>
      <c r="I3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8" spans="1:9" x14ac:dyDescent="0.35">
      <c r="A318" s="2"/>
      <c r="B318" t="str">
        <f>_xlfn.XLOOKUP(tblOcupacao[[#This Row],[AMBIENTE]],tblAmbientes[NOME_AMBIENTE],tblAmbientes[ID],"")</f>
        <v/>
      </c>
      <c r="D318" t="str">
        <f>_xlfn.XLOOKUP(tblOcupacao[[#This Row],[TURNO]],tblTurnos[TURNO],tblTurnos[ID_TURNO],"")</f>
        <v/>
      </c>
      <c r="H318" s="35" t="e">
        <f t="shared" si="6"/>
        <v>#DIV/0!</v>
      </c>
      <c r="I3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9" spans="1:9" x14ac:dyDescent="0.35">
      <c r="A319" s="2"/>
      <c r="B319" t="str">
        <f>_xlfn.XLOOKUP(tblOcupacao[[#This Row],[AMBIENTE]],tblAmbientes[NOME_AMBIENTE],tblAmbientes[ID],"")</f>
        <v/>
      </c>
      <c r="D319" t="str">
        <f>_xlfn.XLOOKUP(tblOcupacao[[#This Row],[TURNO]],tblTurnos[TURNO],tblTurnos[ID_TURNO],"")</f>
        <v/>
      </c>
      <c r="H319" s="35" t="e">
        <f t="shared" si="6"/>
        <v>#DIV/0!</v>
      </c>
      <c r="I3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0" spans="1:9" x14ac:dyDescent="0.35">
      <c r="A320" s="2"/>
      <c r="B320" t="str">
        <f>_xlfn.XLOOKUP(tblOcupacao[[#This Row],[AMBIENTE]],tblAmbientes[NOME_AMBIENTE],tblAmbientes[ID],"")</f>
        <v/>
      </c>
      <c r="D320" t="str">
        <f>_xlfn.XLOOKUP(tblOcupacao[[#This Row],[TURNO]],tblTurnos[TURNO],tblTurnos[ID_TURNO],"")</f>
        <v/>
      </c>
      <c r="H320" s="35" t="e">
        <f t="shared" si="6"/>
        <v>#DIV/0!</v>
      </c>
      <c r="I3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1" spans="1:9" x14ac:dyDescent="0.35">
      <c r="A321" s="2"/>
      <c r="B321" t="str">
        <f>_xlfn.XLOOKUP(tblOcupacao[[#This Row],[AMBIENTE]],tblAmbientes[NOME_AMBIENTE],tblAmbientes[ID],"")</f>
        <v/>
      </c>
      <c r="D321" t="str">
        <f>_xlfn.XLOOKUP(tblOcupacao[[#This Row],[TURNO]],tblTurnos[TURNO],tblTurnos[ID_TURNO],"")</f>
        <v/>
      </c>
      <c r="H321" s="35" t="e">
        <f t="shared" si="6"/>
        <v>#DIV/0!</v>
      </c>
      <c r="I3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2" spans="1:9" x14ac:dyDescent="0.35">
      <c r="A322" s="2"/>
      <c r="B322" t="str">
        <f>_xlfn.XLOOKUP(tblOcupacao[[#This Row],[AMBIENTE]],tblAmbientes[NOME_AMBIENTE],tblAmbientes[ID],"")</f>
        <v/>
      </c>
      <c r="D322" t="str">
        <f>_xlfn.XLOOKUP(tblOcupacao[[#This Row],[TURNO]],tblTurnos[TURNO],tblTurnos[ID_TURNO],"")</f>
        <v/>
      </c>
      <c r="H322" s="35" t="e">
        <f t="shared" si="6"/>
        <v>#DIV/0!</v>
      </c>
      <c r="I3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3" spans="1:9" x14ac:dyDescent="0.35">
      <c r="A323" s="2"/>
      <c r="B323" t="str">
        <f>_xlfn.XLOOKUP(tblOcupacao[[#This Row],[AMBIENTE]],tblAmbientes[NOME_AMBIENTE],tblAmbientes[ID],"")</f>
        <v/>
      </c>
      <c r="D323" t="str">
        <f>_xlfn.XLOOKUP(tblOcupacao[[#This Row],[TURNO]],tblTurnos[TURNO],tblTurnos[ID_TURNO],"")</f>
        <v/>
      </c>
      <c r="H323" s="35" t="e">
        <f t="shared" si="6"/>
        <v>#DIV/0!</v>
      </c>
      <c r="I3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4" spans="1:9" x14ac:dyDescent="0.35">
      <c r="A324" s="2"/>
      <c r="B324" t="str">
        <f>_xlfn.XLOOKUP(tblOcupacao[[#This Row],[AMBIENTE]],tblAmbientes[NOME_AMBIENTE],tblAmbientes[ID],"")</f>
        <v/>
      </c>
      <c r="D324" t="str">
        <f>_xlfn.XLOOKUP(tblOcupacao[[#This Row],[TURNO]],tblTurnos[TURNO],tblTurnos[ID_TURNO],"")</f>
        <v/>
      </c>
      <c r="H324" s="35" t="e">
        <f t="shared" si="6"/>
        <v>#DIV/0!</v>
      </c>
      <c r="I3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5" spans="1:9" x14ac:dyDescent="0.35">
      <c r="A325" s="2"/>
      <c r="B325" t="str">
        <f>_xlfn.XLOOKUP(tblOcupacao[[#This Row],[AMBIENTE]],tblAmbientes[NOME_AMBIENTE],tblAmbientes[ID],"")</f>
        <v/>
      </c>
      <c r="D325" t="str">
        <f>_xlfn.XLOOKUP(tblOcupacao[[#This Row],[TURNO]],tblTurnos[TURNO],tblTurnos[ID_TURNO],"")</f>
        <v/>
      </c>
      <c r="H325" s="35" t="e">
        <f t="shared" si="6"/>
        <v>#DIV/0!</v>
      </c>
      <c r="I3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6" spans="1:9" x14ac:dyDescent="0.35">
      <c r="A326" s="2"/>
      <c r="B326" t="str">
        <f>_xlfn.XLOOKUP(tblOcupacao[[#This Row],[AMBIENTE]],tblAmbientes[NOME_AMBIENTE],tblAmbientes[ID],"")</f>
        <v/>
      </c>
      <c r="D326" t="str">
        <f>_xlfn.XLOOKUP(tblOcupacao[[#This Row],[TURNO]],tblTurnos[TURNO],tblTurnos[ID_TURNO],"")</f>
        <v/>
      </c>
      <c r="H326" s="35" t="e">
        <f t="shared" si="6"/>
        <v>#DIV/0!</v>
      </c>
      <c r="I3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7" spans="1:9" x14ac:dyDescent="0.35">
      <c r="A327" s="2"/>
      <c r="B327" t="str">
        <f>_xlfn.XLOOKUP(tblOcupacao[[#This Row],[AMBIENTE]],tblAmbientes[NOME_AMBIENTE],tblAmbientes[ID],"")</f>
        <v/>
      </c>
      <c r="D327" t="str">
        <f>_xlfn.XLOOKUP(tblOcupacao[[#This Row],[TURNO]],tblTurnos[TURNO],tblTurnos[ID_TURNO],"")</f>
        <v/>
      </c>
      <c r="H327" s="35" t="e">
        <f t="shared" si="6"/>
        <v>#DIV/0!</v>
      </c>
      <c r="I3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8" spans="1:9" x14ac:dyDescent="0.35">
      <c r="A328" s="2"/>
      <c r="B328" t="str">
        <f>_xlfn.XLOOKUP(tblOcupacao[[#This Row],[AMBIENTE]],tblAmbientes[NOME_AMBIENTE],tblAmbientes[ID],"")</f>
        <v/>
      </c>
      <c r="D328" t="str">
        <f>_xlfn.XLOOKUP(tblOcupacao[[#This Row],[TURNO]],tblTurnos[TURNO],tblTurnos[ID_TURNO],"")</f>
        <v/>
      </c>
      <c r="H328" s="35" t="e">
        <f t="shared" si="6"/>
        <v>#DIV/0!</v>
      </c>
      <c r="I3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9" spans="1:9" x14ac:dyDescent="0.35">
      <c r="A329" s="2"/>
      <c r="B329" t="str">
        <f>_xlfn.XLOOKUP(tblOcupacao[[#This Row],[AMBIENTE]],tblAmbientes[NOME_AMBIENTE],tblAmbientes[ID],"")</f>
        <v/>
      </c>
      <c r="D329" t="str">
        <f>_xlfn.XLOOKUP(tblOcupacao[[#This Row],[TURNO]],tblTurnos[TURNO],tblTurnos[ID_TURNO],"")</f>
        <v/>
      </c>
      <c r="H329" s="35" t="e">
        <f t="shared" si="6"/>
        <v>#DIV/0!</v>
      </c>
      <c r="I3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0" spans="1:9" x14ac:dyDescent="0.35">
      <c r="A330" s="2"/>
      <c r="B330" t="str">
        <f>_xlfn.XLOOKUP(tblOcupacao[[#This Row],[AMBIENTE]],tblAmbientes[NOME_AMBIENTE],tblAmbientes[ID],"")</f>
        <v/>
      </c>
      <c r="D330" t="str">
        <f>_xlfn.XLOOKUP(tblOcupacao[[#This Row],[TURNO]],tblTurnos[TURNO],tblTurnos[ID_TURNO],"")</f>
        <v/>
      </c>
      <c r="H330" s="35" t="e">
        <f t="shared" si="6"/>
        <v>#DIV/0!</v>
      </c>
      <c r="I3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1" spans="1:9" x14ac:dyDescent="0.35">
      <c r="A331" s="2"/>
      <c r="B331" t="str">
        <f>_xlfn.XLOOKUP(tblOcupacao[[#This Row],[AMBIENTE]],tblAmbientes[NOME_AMBIENTE],tblAmbientes[ID],"")</f>
        <v/>
      </c>
      <c r="D331" t="str">
        <f>_xlfn.XLOOKUP(tblOcupacao[[#This Row],[TURNO]],tblTurnos[TURNO],tblTurnos[ID_TURNO],"")</f>
        <v/>
      </c>
      <c r="H331" s="35" t="e">
        <f t="shared" si="6"/>
        <v>#DIV/0!</v>
      </c>
      <c r="I3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2" spans="1:9" x14ac:dyDescent="0.35">
      <c r="A332" s="2"/>
      <c r="B332" t="str">
        <f>_xlfn.XLOOKUP(tblOcupacao[[#This Row],[AMBIENTE]],tblAmbientes[NOME_AMBIENTE],tblAmbientes[ID],"")</f>
        <v/>
      </c>
      <c r="D332" t="str">
        <f>_xlfn.XLOOKUP(tblOcupacao[[#This Row],[TURNO]],tblTurnos[TURNO],tblTurnos[ID_TURNO],"")</f>
        <v/>
      </c>
      <c r="H332" s="35" t="e">
        <f t="shared" si="6"/>
        <v>#DIV/0!</v>
      </c>
      <c r="I3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3" spans="1:9" x14ac:dyDescent="0.35">
      <c r="A333" s="2"/>
      <c r="B333" t="str">
        <f>_xlfn.XLOOKUP(tblOcupacao[[#This Row],[AMBIENTE]],tblAmbientes[NOME_AMBIENTE],tblAmbientes[ID],"")</f>
        <v/>
      </c>
      <c r="D333" t="str">
        <f>_xlfn.XLOOKUP(tblOcupacao[[#This Row],[TURNO]],tblTurnos[TURNO],tblTurnos[ID_TURNO],"")</f>
        <v/>
      </c>
      <c r="H333" s="35" t="e">
        <f t="shared" si="6"/>
        <v>#DIV/0!</v>
      </c>
      <c r="I3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4" spans="1:9" x14ac:dyDescent="0.35">
      <c r="A334" s="2"/>
      <c r="B334" t="str">
        <f>_xlfn.XLOOKUP(tblOcupacao[[#This Row],[AMBIENTE]],tblAmbientes[NOME_AMBIENTE],tblAmbientes[ID],"")</f>
        <v/>
      </c>
      <c r="D334" t="str">
        <f>_xlfn.XLOOKUP(tblOcupacao[[#This Row],[TURNO]],tblTurnos[TURNO],tblTurnos[ID_TURNO],"")</f>
        <v/>
      </c>
      <c r="H334" s="35" t="e">
        <f t="shared" si="6"/>
        <v>#DIV/0!</v>
      </c>
      <c r="I3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5" spans="1:9" x14ac:dyDescent="0.35">
      <c r="A335" s="2"/>
      <c r="B335" t="str">
        <f>_xlfn.XLOOKUP(tblOcupacao[[#This Row],[AMBIENTE]],tblAmbientes[NOME_AMBIENTE],tblAmbientes[ID],"")</f>
        <v/>
      </c>
      <c r="D335" t="str">
        <f>_xlfn.XLOOKUP(tblOcupacao[[#This Row],[TURNO]],tblTurnos[TURNO],tblTurnos[ID_TURNO],"")</f>
        <v/>
      </c>
      <c r="H335" s="35" t="e">
        <f t="shared" si="6"/>
        <v>#DIV/0!</v>
      </c>
      <c r="I3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6" spans="1:9" x14ac:dyDescent="0.35">
      <c r="A336" s="2"/>
      <c r="B336" t="str">
        <f>_xlfn.XLOOKUP(tblOcupacao[[#This Row],[AMBIENTE]],tblAmbientes[NOME_AMBIENTE],tblAmbientes[ID],"")</f>
        <v/>
      </c>
      <c r="D336" t="str">
        <f>_xlfn.XLOOKUP(tblOcupacao[[#This Row],[TURNO]],tblTurnos[TURNO],tblTurnos[ID_TURNO],"")</f>
        <v/>
      </c>
      <c r="H336" s="35" t="e">
        <f t="shared" si="6"/>
        <v>#DIV/0!</v>
      </c>
      <c r="I3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7" spans="1:9" x14ac:dyDescent="0.35">
      <c r="A337" s="2"/>
      <c r="B337" t="str">
        <f>_xlfn.XLOOKUP(tblOcupacao[[#This Row],[AMBIENTE]],tblAmbientes[NOME_AMBIENTE],tblAmbientes[ID],"")</f>
        <v/>
      </c>
      <c r="D337" t="str">
        <f>_xlfn.XLOOKUP(tblOcupacao[[#This Row],[TURNO]],tblTurnos[TURNO],tblTurnos[ID_TURNO],"")</f>
        <v/>
      </c>
      <c r="H337" s="35" t="e">
        <f t="shared" si="6"/>
        <v>#DIV/0!</v>
      </c>
      <c r="I3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8" spans="1:9" x14ac:dyDescent="0.35">
      <c r="A338" s="2"/>
      <c r="B338" t="str">
        <f>_xlfn.XLOOKUP(tblOcupacao[[#This Row],[AMBIENTE]],tblAmbientes[NOME_AMBIENTE],tblAmbientes[ID],"")</f>
        <v/>
      </c>
      <c r="D338" t="str">
        <f>_xlfn.XLOOKUP(tblOcupacao[[#This Row],[TURNO]],tblTurnos[TURNO],tblTurnos[ID_TURNO],"")</f>
        <v/>
      </c>
      <c r="H338" s="35" t="e">
        <f t="shared" si="6"/>
        <v>#DIV/0!</v>
      </c>
      <c r="I3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9" spans="1:9" x14ac:dyDescent="0.35">
      <c r="A339" s="2"/>
      <c r="B339" t="str">
        <f>_xlfn.XLOOKUP(tblOcupacao[[#This Row],[AMBIENTE]],tblAmbientes[NOME_AMBIENTE],tblAmbientes[ID],"")</f>
        <v/>
      </c>
      <c r="D339" t="str">
        <f>_xlfn.XLOOKUP(tblOcupacao[[#This Row],[TURNO]],tblTurnos[TURNO],tblTurnos[ID_TURNO],"")</f>
        <v/>
      </c>
      <c r="H339" s="35" t="e">
        <f t="shared" si="6"/>
        <v>#DIV/0!</v>
      </c>
      <c r="I3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0" spans="1:9" x14ac:dyDescent="0.35">
      <c r="A340" s="2"/>
      <c r="B340" t="str">
        <f>_xlfn.XLOOKUP(tblOcupacao[[#This Row],[AMBIENTE]],tblAmbientes[NOME_AMBIENTE],tblAmbientes[ID],"")</f>
        <v/>
      </c>
      <c r="D340" t="str">
        <f>_xlfn.XLOOKUP(tblOcupacao[[#This Row],[TURNO]],tblTurnos[TURNO],tblTurnos[ID_TURNO],"")</f>
        <v/>
      </c>
      <c r="H340" s="35" t="e">
        <f t="shared" si="6"/>
        <v>#DIV/0!</v>
      </c>
      <c r="I3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1" spans="1:9" x14ac:dyDescent="0.35">
      <c r="A341" s="2"/>
      <c r="B341" t="str">
        <f>_xlfn.XLOOKUP(tblOcupacao[[#This Row],[AMBIENTE]],tblAmbientes[NOME_AMBIENTE],tblAmbientes[ID],"")</f>
        <v/>
      </c>
      <c r="D341" t="str">
        <f>_xlfn.XLOOKUP(tblOcupacao[[#This Row],[TURNO]],tblTurnos[TURNO],tblTurnos[ID_TURNO],"")</f>
        <v/>
      </c>
      <c r="H341" s="35" t="e">
        <f t="shared" si="6"/>
        <v>#DIV/0!</v>
      </c>
      <c r="I3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2" spans="1:9" x14ac:dyDescent="0.35">
      <c r="A342" s="2"/>
      <c r="B342" t="str">
        <f>_xlfn.XLOOKUP(tblOcupacao[[#This Row],[AMBIENTE]],tblAmbientes[NOME_AMBIENTE],tblAmbientes[ID],"")</f>
        <v/>
      </c>
      <c r="D342" t="str">
        <f>_xlfn.XLOOKUP(tblOcupacao[[#This Row],[TURNO]],tblTurnos[TURNO],tblTurnos[ID_TURNO],"")</f>
        <v/>
      </c>
      <c r="H342" s="35" t="e">
        <f t="shared" ref="H342:H405" si="7">$F342/$G342</f>
        <v>#DIV/0!</v>
      </c>
      <c r="I3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3" spans="1:9" x14ac:dyDescent="0.35">
      <c r="A343" s="2"/>
      <c r="B343" t="str">
        <f>_xlfn.XLOOKUP(tblOcupacao[[#This Row],[AMBIENTE]],tblAmbientes[NOME_AMBIENTE],tblAmbientes[ID],"")</f>
        <v/>
      </c>
      <c r="D343" t="str">
        <f>_xlfn.XLOOKUP(tblOcupacao[[#This Row],[TURNO]],tblTurnos[TURNO],tblTurnos[ID_TURNO],"")</f>
        <v/>
      </c>
      <c r="H343" s="35" t="e">
        <f t="shared" si="7"/>
        <v>#DIV/0!</v>
      </c>
      <c r="I3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4" spans="1:9" x14ac:dyDescent="0.35">
      <c r="A344" s="2"/>
      <c r="B344" t="str">
        <f>_xlfn.XLOOKUP(tblOcupacao[[#This Row],[AMBIENTE]],tblAmbientes[NOME_AMBIENTE],tblAmbientes[ID],"")</f>
        <v/>
      </c>
      <c r="D344" t="str">
        <f>_xlfn.XLOOKUP(tblOcupacao[[#This Row],[TURNO]],tblTurnos[TURNO],tblTurnos[ID_TURNO],"")</f>
        <v/>
      </c>
      <c r="H344" s="35" t="e">
        <f t="shared" si="7"/>
        <v>#DIV/0!</v>
      </c>
      <c r="I3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5" spans="1:9" x14ac:dyDescent="0.35">
      <c r="A345" s="2"/>
      <c r="B345" t="str">
        <f>_xlfn.XLOOKUP(tblOcupacao[[#This Row],[AMBIENTE]],tblAmbientes[NOME_AMBIENTE],tblAmbientes[ID],"")</f>
        <v/>
      </c>
      <c r="D345" t="str">
        <f>_xlfn.XLOOKUP(tblOcupacao[[#This Row],[TURNO]],tblTurnos[TURNO],tblTurnos[ID_TURNO],"")</f>
        <v/>
      </c>
      <c r="H345" s="35" t="e">
        <f t="shared" si="7"/>
        <v>#DIV/0!</v>
      </c>
      <c r="I3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6" spans="1:9" x14ac:dyDescent="0.35">
      <c r="A346" s="2"/>
      <c r="B346" t="str">
        <f>_xlfn.XLOOKUP(tblOcupacao[[#This Row],[AMBIENTE]],tblAmbientes[NOME_AMBIENTE],tblAmbientes[ID],"")</f>
        <v/>
      </c>
      <c r="D346" t="str">
        <f>_xlfn.XLOOKUP(tblOcupacao[[#This Row],[TURNO]],tblTurnos[TURNO],tblTurnos[ID_TURNO],"")</f>
        <v/>
      </c>
      <c r="H346" s="35" t="e">
        <f t="shared" si="7"/>
        <v>#DIV/0!</v>
      </c>
      <c r="I3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7" spans="1:9" x14ac:dyDescent="0.35">
      <c r="A347" s="2"/>
      <c r="B347" t="str">
        <f>_xlfn.XLOOKUP(tblOcupacao[[#This Row],[AMBIENTE]],tblAmbientes[NOME_AMBIENTE],tblAmbientes[ID],"")</f>
        <v/>
      </c>
      <c r="D347" t="str">
        <f>_xlfn.XLOOKUP(tblOcupacao[[#This Row],[TURNO]],tblTurnos[TURNO],tblTurnos[ID_TURNO],"")</f>
        <v/>
      </c>
      <c r="H347" s="35" t="e">
        <f t="shared" si="7"/>
        <v>#DIV/0!</v>
      </c>
      <c r="I3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8" spans="1:9" x14ac:dyDescent="0.35">
      <c r="A348" s="2"/>
      <c r="B348" t="str">
        <f>_xlfn.XLOOKUP(tblOcupacao[[#This Row],[AMBIENTE]],tblAmbientes[NOME_AMBIENTE],tblAmbientes[ID],"")</f>
        <v/>
      </c>
      <c r="D348" t="str">
        <f>_xlfn.XLOOKUP(tblOcupacao[[#This Row],[TURNO]],tblTurnos[TURNO],tblTurnos[ID_TURNO],"")</f>
        <v/>
      </c>
      <c r="H348" s="35" t="e">
        <f t="shared" si="7"/>
        <v>#DIV/0!</v>
      </c>
      <c r="I3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9" spans="1:9" x14ac:dyDescent="0.35">
      <c r="A349" s="2"/>
      <c r="B349" t="str">
        <f>_xlfn.XLOOKUP(tblOcupacao[[#This Row],[AMBIENTE]],tblAmbientes[NOME_AMBIENTE],tblAmbientes[ID],"")</f>
        <v/>
      </c>
      <c r="D349" t="str">
        <f>_xlfn.XLOOKUP(tblOcupacao[[#This Row],[TURNO]],tblTurnos[TURNO],tblTurnos[ID_TURNO],"")</f>
        <v/>
      </c>
      <c r="H349" s="35" t="e">
        <f t="shared" si="7"/>
        <v>#DIV/0!</v>
      </c>
      <c r="I3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0" spans="1:9" x14ac:dyDescent="0.35">
      <c r="A350" s="2"/>
      <c r="B350" t="str">
        <f>_xlfn.XLOOKUP(tblOcupacao[[#This Row],[AMBIENTE]],tblAmbientes[NOME_AMBIENTE],tblAmbientes[ID],"")</f>
        <v/>
      </c>
      <c r="D350" t="str">
        <f>_xlfn.XLOOKUP(tblOcupacao[[#This Row],[TURNO]],tblTurnos[TURNO],tblTurnos[ID_TURNO],"")</f>
        <v/>
      </c>
      <c r="H350" s="35" t="e">
        <f t="shared" si="7"/>
        <v>#DIV/0!</v>
      </c>
      <c r="I3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1" spans="1:9" x14ac:dyDescent="0.35">
      <c r="A351" s="2"/>
      <c r="B351" t="str">
        <f>_xlfn.XLOOKUP(tblOcupacao[[#This Row],[AMBIENTE]],tblAmbientes[NOME_AMBIENTE],tblAmbientes[ID],"")</f>
        <v/>
      </c>
      <c r="D351" t="str">
        <f>_xlfn.XLOOKUP(tblOcupacao[[#This Row],[TURNO]],tblTurnos[TURNO],tblTurnos[ID_TURNO],"")</f>
        <v/>
      </c>
      <c r="H351" s="35" t="e">
        <f t="shared" si="7"/>
        <v>#DIV/0!</v>
      </c>
      <c r="I3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2" spans="1:9" x14ac:dyDescent="0.35">
      <c r="A352" s="2"/>
      <c r="B352" t="str">
        <f>_xlfn.XLOOKUP(tblOcupacao[[#This Row],[AMBIENTE]],tblAmbientes[NOME_AMBIENTE],tblAmbientes[ID],"")</f>
        <v/>
      </c>
      <c r="D352" t="str">
        <f>_xlfn.XLOOKUP(tblOcupacao[[#This Row],[TURNO]],tblTurnos[TURNO],tblTurnos[ID_TURNO],"")</f>
        <v/>
      </c>
      <c r="H352" s="35" t="e">
        <f t="shared" si="7"/>
        <v>#DIV/0!</v>
      </c>
      <c r="I3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3" spans="1:9" x14ac:dyDescent="0.35">
      <c r="A353" s="2"/>
      <c r="B353" t="str">
        <f>_xlfn.XLOOKUP(tblOcupacao[[#This Row],[AMBIENTE]],tblAmbientes[NOME_AMBIENTE],tblAmbientes[ID],"")</f>
        <v/>
      </c>
      <c r="D353" t="str">
        <f>_xlfn.XLOOKUP(tblOcupacao[[#This Row],[TURNO]],tblTurnos[TURNO],tblTurnos[ID_TURNO],"")</f>
        <v/>
      </c>
      <c r="H353" s="35" t="e">
        <f t="shared" si="7"/>
        <v>#DIV/0!</v>
      </c>
      <c r="I3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4" spans="1:9" x14ac:dyDescent="0.35">
      <c r="A354" s="2"/>
      <c r="B354" t="str">
        <f>_xlfn.XLOOKUP(tblOcupacao[[#This Row],[AMBIENTE]],tblAmbientes[NOME_AMBIENTE],tblAmbientes[ID],"")</f>
        <v/>
      </c>
      <c r="D354" t="str">
        <f>_xlfn.XLOOKUP(tblOcupacao[[#This Row],[TURNO]],tblTurnos[TURNO],tblTurnos[ID_TURNO],"")</f>
        <v/>
      </c>
      <c r="H354" s="35" t="e">
        <f t="shared" si="7"/>
        <v>#DIV/0!</v>
      </c>
      <c r="I3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5" spans="1:9" x14ac:dyDescent="0.35">
      <c r="A355" s="2"/>
      <c r="B355" t="str">
        <f>_xlfn.XLOOKUP(tblOcupacao[[#This Row],[AMBIENTE]],tblAmbientes[NOME_AMBIENTE],tblAmbientes[ID],"")</f>
        <v/>
      </c>
      <c r="D355" t="str">
        <f>_xlfn.XLOOKUP(tblOcupacao[[#This Row],[TURNO]],tblTurnos[TURNO],tblTurnos[ID_TURNO],"")</f>
        <v/>
      </c>
      <c r="H355" s="35" t="e">
        <f t="shared" si="7"/>
        <v>#DIV/0!</v>
      </c>
      <c r="I3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6" spans="1:9" x14ac:dyDescent="0.35">
      <c r="A356" s="2"/>
      <c r="B356" t="str">
        <f>_xlfn.XLOOKUP(tblOcupacao[[#This Row],[AMBIENTE]],tblAmbientes[NOME_AMBIENTE],tblAmbientes[ID],"")</f>
        <v/>
      </c>
      <c r="D356" t="str">
        <f>_xlfn.XLOOKUP(tblOcupacao[[#This Row],[TURNO]],tblTurnos[TURNO],tblTurnos[ID_TURNO],"")</f>
        <v/>
      </c>
      <c r="H356" s="35" t="e">
        <f t="shared" si="7"/>
        <v>#DIV/0!</v>
      </c>
      <c r="I3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7" spans="1:9" x14ac:dyDescent="0.35">
      <c r="A357" s="2"/>
      <c r="B357" t="str">
        <f>_xlfn.XLOOKUP(tblOcupacao[[#This Row],[AMBIENTE]],tblAmbientes[NOME_AMBIENTE],tblAmbientes[ID],"")</f>
        <v/>
      </c>
      <c r="D357" t="str">
        <f>_xlfn.XLOOKUP(tblOcupacao[[#This Row],[TURNO]],tblTurnos[TURNO],tblTurnos[ID_TURNO],"")</f>
        <v/>
      </c>
      <c r="H357" s="35" t="e">
        <f t="shared" si="7"/>
        <v>#DIV/0!</v>
      </c>
      <c r="I3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8" spans="1:9" x14ac:dyDescent="0.35">
      <c r="A358" s="2"/>
      <c r="B358" t="str">
        <f>_xlfn.XLOOKUP(tblOcupacao[[#This Row],[AMBIENTE]],tblAmbientes[NOME_AMBIENTE],tblAmbientes[ID],"")</f>
        <v/>
      </c>
      <c r="D358" t="str">
        <f>_xlfn.XLOOKUP(tblOcupacao[[#This Row],[TURNO]],tblTurnos[TURNO],tblTurnos[ID_TURNO],"")</f>
        <v/>
      </c>
      <c r="H358" s="35" t="e">
        <f t="shared" si="7"/>
        <v>#DIV/0!</v>
      </c>
      <c r="I3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9" spans="1:9" x14ac:dyDescent="0.35">
      <c r="A359" s="2"/>
      <c r="B359" t="str">
        <f>_xlfn.XLOOKUP(tblOcupacao[[#This Row],[AMBIENTE]],tblAmbientes[NOME_AMBIENTE],tblAmbientes[ID],"")</f>
        <v/>
      </c>
      <c r="D359" t="str">
        <f>_xlfn.XLOOKUP(tblOcupacao[[#This Row],[TURNO]],tblTurnos[TURNO],tblTurnos[ID_TURNO],"")</f>
        <v/>
      </c>
      <c r="H359" s="35" t="e">
        <f t="shared" si="7"/>
        <v>#DIV/0!</v>
      </c>
      <c r="I3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0" spans="1:9" x14ac:dyDescent="0.35">
      <c r="A360" s="2"/>
      <c r="B360" t="str">
        <f>_xlfn.XLOOKUP(tblOcupacao[[#This Row],[AMBIENTE]],tblAmbientes[NOME_AMBIENTE],tblAmbientes[ID],"")</f>
        <v/>
      </c>
      <c r="D360" t="str">
        <f>_xlfn.XLOOKUP(tblOcupacao[[#This Row],[TURNO]],tblTurnos[TURNO],tblTurnos[ID_TURNO],"")</f>
        <v/>
      </c>
      <c r="H360" s="35" t="e">
        <f t="shared" si="7"/>
        <v>#DIV/0!</v>
      </c>
      <c r="I3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1" spans="1:9" x14ac:dyDescent="0.35">
      <c r="A361" s="2"/>
      <c r="B361" t="str">
        <f>_xlfn.XLOOKUP(tblOcupacao[[#This Row],[AMBIENTE]],tblAmbientes[NOME_AMBIENTE],tblAmbientes[ID],"")</f>
        <v/>
      </c>
      <c r="D361" t="str">
        <f>_xlfn.XLOOKUP(tblOcupacao[[#This Row],[TURNO]],tblTurnos[TURNO],tblTurnos[ID_TURNO],"")</f>
        <v/>
      </c>
      <c r="H361" s="35" t="e">
        <f t="shared" si="7"/>
        <v>#DIV/0!</v>
      </c>
      <c r="I3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2" spans="1:9" x14ac:dyDescent="0.35">
      <c r="A362" s="2"/>
      <c r="B362" t="str">
        <f>_xlfn.XLOOKUP(tblOcupacao[[#This Row],[AMBIENTE]],tblAmbientes[NOME_AMBIENTE],tblAmbientes[ID],"")</f>
        <v/>
      </c>
      <c r="D362" t="str">
        <f>_xlfn.XLOOKUP(tblOcupacao[[#This Row],[TURNO]],tblTurnos[TURNO],tblTurnos[ID_TURNO],"")</f>
        <v/>
      </c>
      <c r="H362" s="35" t="e">
        <f t="shared" si="7"/>
        <v>#DIV/0!</v>
      </c>
      <c r="I3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3" spans="1:9" x14ac:dyDescent="0.35">
      <c r="A363" s="2"/>
      <c r="B363" t="str">
        <f>_xlfn.XLOOKUP(tblOcupacao[[#This Row],[AMBIENTE]],tblAmbientes[NOME_AMBIENTE],tblAmbientes[ID],"")</f>
        <v/>
      </c>
      <c r="D363" t="str">
        <f>_xlfn.XLOOKUP(tblOcupacao[[#This Row],[TURNO]],tblTurnos[TURNO],tblTurnos[ID_TURNO],"")</f>
        <v/>
      </c>
      <c r="H363" s="35" t="e">
        <f t="shared" si="7"/>
        <v>#DIV/0!</v>
      </c>
      <c r="I3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4" spans="1:9" x14ac:dyDescent="0.35">
      <c r="A364" s="2"/>
      <c r="B364" t="str">
        <f>_xlfn.XLOOKUP(tblOcupacao[[#This Row],[AMBIENTE]],tblAmbientes[NOME_AMBIENTE],tblAmbientes[ID],"")</f>
        <v/>
      </c>
      <c r="D364" t="str">
        <f>_xlfn.XLOOKUP(tblOcupacao[[#This Row],[TURNO]],tblTurnos[TURNO],tblTurnos[ID_TURNO],"")</f>
        <v/>
      </c>
      <c r="H364" s="35" t="e">
        <f t="shared" si="7"/>
        <v>#DIV/0!</v>
      </c>
      <c r="I3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5" spans="1:9" x14ac:dyDescent="0.35">
      <c r="A365" s="2"/>
      <c r="B365" t="str">
        <f>_xlfn.XLOOKUP(tblOcupacao[[#This Row],[AMBIENTE]],tblAmbientes[NOME_AMBIENTE],tblAmbientes[ID],"")</f>
        <v/>
      </c>
      <c r="D365" t="str">
        <f>_xlfn.XLOOKUP(tblOcupacao[[#This Row],[TURNO]],tblTurnos[TURNO],tblTurnos[ID_TURNO],"")</f>
        <v/>
      </c>
      <c r="H365" s="35" t="e">
        <f t="shared" si="7"/>
        <v>#DIV/0!</v>
      </c>
      <c r="I3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6" spans="1:9" x14ac:dyDescent="0.35">
      <c r="A366" s="2"/>
      <c r="B366" t="str">
        <f>_xlfn.XLOOKUP(tblOcupacao[[#This Row],[AMBIENTE]],tblAmbientes[NOME_AMBIENTE],tblAmbientes[ID],"")</f>
        <v/>
      </c>
      <c r="D366" t="str">
        <f>_xlfn.XLOOKUP(tblOcupacao[[#This Row],[TURNO]],tblTurnos[TURNO],tblTurnos[ID_TURNO],"")</f>
        <v/>
      </c>
      <c r="H366" s="35" t="e">
        <f t="shared" si="7"/>
        <v>#DIV/0!</v>
      </c>
      <c r="I3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7" spans="1:9" x14ac:dyDescent="0.35">
      <c r="A367" s="2"/>
      <c r="B367" t="str">
        <f>_xlfn.XLOOKUP(tblOcupacao[[#This Row],[AMBIENTE]],tblAmbientes[NOME_AMBIENTE],tblAmbientes[ID],"")</f>
        <v/>
      </c>
      <c r="D367" t="str">
        <f>_xlfn.XLOOKUP(tblOcupacao[[#This Row],[TURNO]],tblTurnos[TURNO],tblTurnos[ID_TURNO],"")</f>
        <v/>
      </c>
      <c r="H367" s="35" t="e">
        <f t="shared" si="7"/>
        <v>#DIV/0!</v>
      </c>
      <c r="I3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8" spans="1:9" x14ac:dyDescent="0.35">
      <c r="A368" s="2"/>
      <c r="B368" t="str">
        <f>_xlfn.XLOOKUP(tblOcupacao[[#This Row],[AMBIENTE]],tblAmbientes[NOME_AMBIENTE],tblAmbientes[ID],"")</f>
        <v/>
      </c>
      <c r="D368" t="str">
        <f>_xlfn.XLOOKUP(tblOcupacao[[#This Row],[TURNO]],tblTurnos[TURNO],tblTurnos[ID_TURNO],"")</f>
        <v/>
      </c>
      <c r="H368" s="35" t="e">
        <f t="shared" si="7"/>
        <v>#DIV/0!</v>
      </c>
      <c r="I3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9" spans="1:9" x14ac:dyDescent="0.35">
      <c r="A369" s="2"/>
      <c r="B369" t="str">
        <f>_xlfn.XLOOKUP(tblOcupacao[[#This Row],[AMBIENTE]],tblAmbientes[NOME_AMBIENTE],tblAmbientes[ID],"")</f>
        <v/>
      </c>
      <c r="D369" t="str">
        <f>_xlfn.XLOOKUP(tblOcupacao[[#This Row],[TURNO]],tblTurnos[TURNO],tblTurnos[ID_TURNO],"")</f>
        <v/>
      </c>
      <c r="H369" s="35" t="e">
        <f t="shared" si="7"/>
        <v>#DIV/0!</v>
      </c>
      <c r="I3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0" spans="1:9" x14ac:dyDescent="0.35">
      <c r="A370" s="2"/>
      <c r="B370" t="str">
        <f>_xlfn.XLOOKUP(tblOcupacao[[#This Row],[AMBIENTE]],tblAmbientes[NOME_AMBIENTE],tblAmbientes[ID],"")</f>
        <v/>
      </c>
      <c r="D370" t="str">
        <f>_xlfn.XLOOKUP(tblOcupacao[[#This Row],[TURNO]],tblTurnos[TURNO],tblTurnos[ID_TURNO],"")</f>
        <v/>
      </c>
      <c r="H370" s="35" t="e">
        <f t="shared" si="7"/>
        <v>#DIV/0!</v>
      </c>
      <c r="I3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1" spans="1:9" x14ac:dyDescent="0.35">
      <c r="A371" s="2"/>
      <c r="B371" t="str">
        <f>_xlfn.XLOOKUP(tblOcupacao[[#This Row],[AMBIENTE]],tblAmbientes[NOME_AMBIENTE],tblAmbientes[ID],"")</f>
        <v/>
      </c>
      <c r="D371" t="str">
        <f>_xlfn.XLOOKUP(tblOcupacao[[#This Row],[TURNO]],tblTurnos[TURNO],tblTurnos[ID_TURNO],"")</f>
        <v/>
      </c>
      <c r="H371" s="35" t="e">
        <f t="shared" si="7"/>
        <v>#DIV/0!</v>
      </c>
      <c r="I3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2" spans="1:9" x14ac:dyDescent="0.35">
      <c r="A372" s="2"/>
      <c r="B372" t="str">
        <f>_xlfn.XLOOKUP(tblOcupacao[[#This Row],[AMBIENTE]],tblAmbientes[NOME_AMBIENTE],tblAmbientes[ID],"")</f>
        <v/>
      </c>
      <c r="D372" t="str">
        <f>_xlfn.XLOOKUP(tblOcupacao[[#This Row],[TURNO]],tblTurnos[TURNO],tblTurnos[ID_TURNO],"")</f>
        <v/>
      </c>
      <c r="H372" s="35" t="e">
        <f t="shared" si="7"/>
        <v>#DIV/0!</v>
      </c>
      <c r="I3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3" spans="1:9" x14ac:dyDescent="0.35">
      <c r="A373" s="2"/>
      <c r="B373" t="str">
        <f>_xlfn.XLOOKUP(tblOcupacao[[#This Row],[AMBIENTE]],tblAmbientes[NOME_AMBIENTE],tblAmbientes[ID],"")</f>
        <v/>
      </c>
      <c r="D373" t="str">
        <f>_xlfn.XLOOKUP(tblOcupacao[[#This Row],[TURNO]],tblTurnos[TURNO],tblTurnos[ID_TURNO],"")</f>
        <v/>
      </c>
      <c r="H373" s="35" t="e">
        <f t="shared" si="7"/>
        <v>#DIV/0!</v>
      </c>
      <c r="I3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4" spans="1:9" x14ac:dyDescent="0.35">
      <c r="A374" s="2"/>
      <c r="B374" t="str">
        <f>_xlfn.XLOOKUP(tblOcupacao[[#This Row],[AMBIENTE]],tblAmbientes[NOME_AMBIENTE],tblAmbientes[ID],"")</f>
        <v/>
      </c>
      <c r="D374" t="str">
        <f>_xlfn.XLOOKUP(tblOcupacao[[#This Row],[TURNO]],tblTurnos[TURNO],tblTurnos[ID_TURNO],"")</f>
        <v/>
      </c>
      <c r="H374" s="35" t="e">
        <f t="shared" si="7"/>
        <v>#DIV/0!</v>
      </c>
      <c r="I3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5" spans="1:9" x14ac:dyDescent="0.35">
      <c r="A375" s="2"/>
      <c r="B375" t="str">
        <f>_xlfn.XLOOKUP(tblOcupacao[[#This Row],[AMBIENTE]],tblAmbientes[NOME_AMBIENTE],tblAmbientes[ID],"")</f>
        <v/>
      </c>
      <c r="D375" t="str">
        <f>_xlfn.XLOOKUP(tblOcupacao[[#This Row],[TURNO]],tblTurnos[TURNO],tblTurnos[ID_TURNO],"")</f>
        <v/>
      </c>
      <c r="H375" s="35" t="e">
        <f t="shared" si="7"/>
        <v>#DIV/0!</v>
      </c>
      <c r="I3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6" spans="1:9" x14ac:dyDescent="0.35">
      <c r="A376" s="2"/>
      <c r="B376" t="str">
        <f>_xlfn.XLOOKUP(tblOcupacao[[#This Row],[AMBIENTE]],tblAmbientes[NOME_AMBIENTE],tblAmbientes[ID],"")</f>
        <v/>
      </c>
      <c r="D376" t="str">
        <f>_xlfn.XLOOKUP(tblOcupacao[[#This Row],[TURNO]],tblTurnos[TURNO],tblTurnos[ID_TURNO],"")</f>
        <v/>
      </c>
      <c r="H376" s="35" t="e">
        <f t="shared" si="7"/>
        <v>#DIV/0!</v>
      </c>
      <c r="I3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7" spans="1:9" x14ac:dyDescent="0.35">
      <c r="A377" s="2"/>
      <c r="B377" t="str">
        <f>_xlfn.XLOOKUP(tblOcupacao[[#This Row],[AMBIENTE]],tblAmbientes[NOME_AMBIENTE],tblAmbientes[ID],"")</f>
        <v/>
      </c>
      <c r="D377" t="str">
        <f>_xlfn.XLOOKUP(tblOcupacao[[#This Row],[TURNO]],tblTurnos[TURNO],tblTurnos[ID_TURNO],"")</f>
        <v/>
      </c>
      <c r="H377" s="35" t="e">
        <f t="shared" si="7"/>
        <v>#DIV/0!</v>
      </c>
      <c r="I3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8" spans="1:9" x14ac:dyDescent="0.35">
      <c r="A378" s="2"/>
      <c r="B378" t="str">
        <f>_xlfn.XLOOKUP(tblOcupacao[[#This Row],[AMBIENTE]],tblAmbientes[NOME_AMBIENTE],tblAmbientes[ID],"")</f>
        <v/>
      </c>
      <c r="D378" t="str">
        <f>_xlfn.XLOOKUP(tblOcupacao[[#This Row],[TURNO]],tblTurnos[TURNO],tblTurnos[ID_TURNO],"")</f>
        <v/>
      </c>
      <c r="H378" s="35" t="e">
        <f t="shared" si="7"/>
        <v>#DIV/0!</v>
      </c>
      <c r="I3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9" spans="1:9" x14ac:dyDescent="0.35">
      <c r="A379" s="2"/>
      <c r="B379" t="str">
        <f>_xlfn.XLOOKUP(tblOcupacao[[#This Row],[AMBIENTE]],tblAmbientes[NOME_AMBIENTE],tblAmbientes[ID],"")</f>
        <v/>
      </c>
      <c r="D379" t="str">
        <f>_xlfn.XLOOKUP(tblOcupacao[[#This Row],[TURNO]],tblTurnos[TURNO],tblTurnos[ID_TURNO],"")</f>
        <v/>
      </c>
      <c r="H379" s="35" t="e">
        <f t="shared" si="7"/>
        <v>#DIV/0!</v>
      </c>
      <c r="I3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0" spans="1:9" x14ac:dyDescent="0.35">
      <c r="A380" s="2"/>
      <c r="B380" t="str">
        <f>_xlfn.XLOOKUP(tblOcupacao[[#This Row],[AMBIENTE]],tblAmbientes[NOME_AMBIENTE],tblAmbientes[ID],"")</f>
        <v/>
      </c>
      <c r="D380" t="str">
        <f>_xlfn.XLOOKUP(tblOcupacao[[#This Row],[TURNO]],tblTurnos[TURNO],tblTurnos[ID_TURNO],"")</f>
        <v/>
      </c>
      <c r="H380" s="35" t="e">
        <f t="shared" si="7"/>
        <v>#DIV/0!</v>
      </c>
      <c r="I3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1" spans="1:9" x14ac:dyDescent="0.35">
      <c r="A381" s="2"/>
      <c r="B381" t="str">
        <f>_xlfn.XLOOKUP(tblOcupacao[[#This Row],[AMBIENTE]],tblAmbientes[NOME_AMBIENTE],tblAmbientes[ID],"")</f>
        <v/>
      </c>
      <c r="D381" t="str">
        <f>_xlfn.XLOOKUP(tblOcupacao[[#This Row],[TURNO]],tblTurnos[TURNO],tblTurnos[ID_TURNO],"")</f>
        <v/>
      </c>
      <c r="H381" s="35" t="e">
        <f t="shared" si="7"/>
        <v>#DIV/0!</v>
      </c>
      <c r="I3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2" spans="1:9" x14ac:dyDescent="0.35">
      <c r="A382" s="2"/>
      <c r="B382" t="str">
        <f>_xlfn.XLOOKUP(tblOcupacao[[#This Row],[AMBIENTE]],tblAmbientes[NOME_AMBIENTE],tblAmbientes[ID],"")</f>
        <v/>
      </c>
      <c r="D382" t="str">
        <f>_xlfn.XLOOKUP(tblOcupacao[[#This Row],[TURNO]],tblTurnos[TURNO],tblTurnos[ID_TURNO],"")</f>
        <v/>
      </c>
      <c r="H382" s="35" t="e">
        <f t="shared" si="7"/>
        <v>#DIV/0!</v>
      </c>
      <c r="I3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3" spans="1:9" x14ac:dyDescent="0.35">
      <c r="A383" s="2"/>
      <c r="B383" t="str">
        <f>_xlfn.XLOOKUP(tblOcupacao[[#This Row],[AMBIENTE]],tblAmbientes[NOME_AMBIENTE],tblAmbientes[ID],"")</f>
        <v/>
      </c>
      <c r="D383" t="str">
        <f>_xlfn.XLOOKUP(tblOcupacao[[#This Row],[TURNO]],tblTurnos[TURNO],tblTurnos[ID_TURNO],"")</f>
        <v/>
      </c>
      <c r="H383" s="35" t="e">
        <f t="shared" si="7"/>
        <v>#DIV/0!</v>
      </c>
      <c r="I3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4" spans="1:9" x14ac:dyDescent="0.35">
      <c r="A384" s="2"/>
      <c r="B384" t="str">
        <f>_xlfn.XLOOKUP(tblOcupacao[[#This Row],[AMBIENTE]],tblAmbientes[NOME_AMBIENTE],tblAmbientes[ID],"")</f>
        <v/>
      </c>
      <c r="D384" t="str">
        <f>_xlfn.XLOOKUP(tblOcupacao[[#This Row],[TURNO]],tblTurnos[TURNO],tblTurnos[ID_TURNO],"")</f>
        <v/>
      </c>
      <c r="H384" s="35" t="e">
        <f t="shared" si="7"/>
        <v>#DIV/0!</v>
      </c>
      <c r="I3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5" spans="1:9" x14ac:dyDescent="0.35">
      <c r="A385" s="2"/>
      <c r="B385" t="str">
        <f>_xlfn.XLOOKUP(tblOcupacao[[#This Row],[AMBIENTE]],tblAmbientes[NOME_AMBIENTE],tblAmbientes[ID],"")</f>
        <v/>
      </c>
      <c r="D385" t="str">
        <f>_xlfn.XLOOKUP(tblOcupacao[[#This Row],[TURNO]],tblTurnos[TURNO],tblTurnos[ID_TURNO],"")</f>
        <v/>
      </c>
      <c r="H385" s="35" t="e">
        <f t="shared" si="7"/>
        <v>#DIV/0!</v>
      </c>
      <c r="I3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6" spans="1:9" x14ac:dyDescent="0.35">
      <c r="A386" s="2"/>
      <c r="B386" t="str">
        <f>_xlfn.XLOOKUP(tblOcupacao[[#This Row],[AMBIENTE]],tblAmbientes[NOME_AMBIENTE],tblAmbientes[ID],"")</f>
        <v/>
      </c>
      <c r="D386" t="str">
        <f>_xlfn.XLOOKUP(tblOcupacao[[#This Row],[TURNO]],tblTurnos[TURNO],tblTurnos[ID_TURNO],"")</f>
        <v/>
      </c>
      <c r="H386" s="35" t="e">
        <f t="shared" si="7"/>
        <v>#DIV/0!</v>
      </c>
      <c r="I3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7" spans="1:9" x14ac:dyDescent="0.35">
      <c r="A387" s="2"/>
      <c r="B387" t="str">
        <f>_xlfn.XLOOKUP(tblOcupacao[[#This Row],[AMBIENTE]],tblAmbientes[NOME_AMBIENTE],tblAmbientes[ID],"")</f>
        <v/>
      </c>
      <c r="D387" t="str">
        <f>_xlfn.XLOOKUP(tblOcupacao[[#This Row],[TURNO]],tblTurnos[TURNO],tblTurnos[ID_TURNO],"")</f>
        <v/>
      </c>
      <c r="H387" s="35" t="e">
        <f t="shared" si="7"/>
        <v>#DIV/0!</v>
      </c>
      <c r="I3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8" spans="1:9" x14ac:dyDescent="0.35">
      <c r="A388" s="2"/>
      <c r="B388" t="str">
        <f>_xlfn.XLOOKUP(tblOcupacao[[#This Row],[AMBIENTE]],tblAmbientes[NOME_AMBIENTE],tblAmbientes[ID],"")</f>
        <v/>
      </c>
      <c r="D388" t="str">
        <f>_xlfn.XLOOKUP(tblOcupacao[[#This Row],[TURNO]],tblTurnos[TURNO],tblTurnos[ID_TURNO],"")</f>
        <v/>
      </c>
      <c r="H388" s="35" t="e">
        <f t="shared" si="7"/>
        <v>#DIV/0!</v>
      </c>
      <c r="I3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9" spans="1:9" x14ac:dyDescent="0.35">
      <c r="A389" s="2"/>
      <c r="B389" t="str">
        <f>_xlfn.XLOOKUP(tblOcupacao[[#This Row],[AMBIENTE]],tblAmbientes[NOME_AMBIENTE],tblAmbientes[ID],"")</f>
        <v/>
      </c>
      <c r="D389" t="str">
        <f>_xlfn.XLOOKUP(tblOcupacao[[#This Row],[TURNO]],tblTurnos[TURNO],tblTurnos[ID_TURNO],"")</f>
        <v/>
      </c>
      <c r="H389" s="35" t="e">
        <f t="shared" si="7"/>
        <v>#DIV/0!</v>
      </c>
      <c r="I3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0" spans="1:9" x14ac:dyDescent="0.35">
      <c r="A390" s="2"/>
      <c r="B390" t="str">
        <f>_xlfn.XLOOKUP(tblOcupacao[[#This Row],[AMBIENTE]],tblAmbientes[NOME_AMBIENTE],tblAmbientes[ID],"")</f>
        <v/>
      </c>
      <c r="D390" t="str">
        <f>_xlfn.XLOOKUP(tblOcupacao[[#This Row],[TURNO]],tblTurnos[TURNO],tblTurnos[ID_TURNO],"")</f>
        <v/>
      </c>
      <c r="H390" s="35" t="e">
        <f t="shared" si="7"/>
        <v>#DIV/0!</v>
      </c>
      <c r="I3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1" spans="1:9" x14ac:dyDescent="0.35">
      <c r="A391" s="2"/>
      <c r="B391" t="str">
        <f>_xlfn.XLOOKUP(tblOcupacao[[#This Row],[AMBIENTE]],tblAmbientes[NOME_AMBIENTE],tblAmbientes[ID],"")</f>
        <v/>
      </c>
      <c r="D391" t="str">
        <f>_xlfn.XLOOKUP(tblOcupacao[[#This Row],[TURNO]],tblTurnos[TURNO],tblTurnos[ID_TURNO],"")</f>
        <v/>
      </c>
      <c r="H391" s="35" t="e">
        <f t="shared" si="7"/>
        <v>#DIV/0!</v>
      </c>
      <c r="I3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2" spans="1:9" x14ac:dyDescent="0.35">
      <c r="A392" s="2"/>
      <c r="B392" t="str">
        <f>_xlfn.XLOOKUP(tblOcupacao[[#This Row],[AMBIENTE]],tblAmbientes[NOME_AMBIENTE],tblAmbientes[ID],"")</f>
        <v/>
      </c>
      <c r="D392" t="str">
        <f>_xlfn.XLOOKUP(tblOcupacao[[#This Row],[TURNO]],tblTurnos[TURNO],tblTurnos[ID_TURNO],"")</f>
        <v/>
      </c>
      <c r="H392" s="35" t="e">
        <f t="shared" si="7"/>
        <v>#DIV/0!</v>
      </c>
      <c r="I3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3" spans="1:9" x14ac:dyDescent="0.35">
      <c r="A393" s="2"/>
      <c r="B393" t="str">
        <f>_xlfn.XLOOKUP(tblOcupacao[[#This Row],[AMBIENTE]],tblAmbientes[NOME_AMBIENTE],tblAmbientes[ID],"")</f>
        <v/>
      </c>
      <c r="D393" t="str">
        <f>_xlfn.XLOOKUP(tblOcupacao[[#This Row],[TURNO]],tblTurnos[TURNO],tblTurnos[ID_TURNO],"")</f>
        <v/>
      </c>
      <c r="H393" s="35" t="e">
        <f t="shared" si="7"/>
        <v>#DIV/0!</v>
      </c>
      <c r="I3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4" spans="1:9" x14ac:dyDescent="0.35">
      <c r="A394" s="2"/>
      <c r="B394" t="str">
        <f>_xlfn.XLOOKUP(tblOcupacao[[#This Row],[AMBIENTE]],tblAmbientes[NOME_AMBIENTE],tblAmbientes[ID],"")</f>
        <v/>
      </c>
      <c r="D394" t="str">
        <f>_xlfn.XLOOKUP(tblOcupacao[[#This Row],[TURNO]],tblTurnos[TURNO],tblTurnos[ID_TURNO],"")</f>
        <v/>
      </c>
      <c r="H394" s="35" t="e">
        <f t="shared" si="7"/>
        <v>#DIV/0!</v>
      </c>
      <c r="I3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5" spans="1:9" x14ac:dyDescent="0.35">
      <c r="A395" s="2"/>
      <c r="B395" t="str">
        <f>_xlfn.XLOOKUP(tblOcupacao[[#This Row],[AMBIENTE]],tblAmbientes[NOME_AMBIENTE],tblAmbientes[ID],"")</f>
        <v/>
      </c>
      <c r="D395" t="str">
        <f>_xlfn.XLOOKUP(tblOcupacao[[#This Row],[TURNO]],tblTurnos[TURNO],tblTurnos[ID_TURNO],"")</f>
        <v/>
      </c>
      <c r="H395" s="35" t="e">
        <f t="shared" si="7"/>
        <v>#DIV/0!</v>
      </c>
      <c r="I3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6" spans="1:9" x14ac:dyDescent="0.35">
      <c r="A396" s="2"/>
      <c r="B396" t="str">
        <f>_xlfn.XLOOKUP(tblOcupacao[[#This Row],[AMBIENTE]],tblAmbientes[NOME_AMBIENTE],tblAmbientes[ID],"")</f>
        <v/>
      </c>
      <c r="D396" t="str">
        <f>_xlfn.XLOOKUP(tblOcupacao[[#This Row],[TURNO]],tblTurnos[TURNO],tblTurnos[ID_TURNO],"")</f>
        <v/>
      </c>
      <c r="H396" s="35" t="e">
        <f t="shared" si="7"/>
        <v>#DIV/0!</v>
      </c>
      <c r="I3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7" spans="1:9" x14ac:dyDescent="0.35">
      <c r="A397" s="2"/>
      <c r="B397" t="str">
        <f>_xlfn.XLOOKUP(tblOcupacao[[#This Row],[AMBIENTE]],tblAmbientes[NOME_AMBIENTE],tblAmbientes[ID],"")</f>
        <v/>
      </c>
      <c r="D397" t="str">
        <f>_xlfn.XLOOKUP(tblOcupacao[[#This Row],[TURNO]],tblTurnos[TURNO],tblTurnos[ID_TURNO],"")</f>
        <v/>
      </c>
      <c r="H397" s="35" t="e">
        <f t="shared" si="7"/>
        <v>#DIV/0!</v>
      </c>
      <c r="I3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8" spans="1:9" x14ac:dyDescent="0.35">
      <c r="A398" s="2"/>
      <c r="B398" t="str">
        <f>_xlfn.XLOOKUP(tblOcupacao[[#This Row],[AMBIENTE]],tblAmbientes[NOME_AMBIENTE],tblAmbientes[ID],"")</f>
        <v/>
      </c>
      <c r="D398" t="str">
        <f>_xlfn.XLOOKUP(tblOcupacao[[#This Row],[TURNO]],tblTurnos[TURNO],tblTurnos[ID_TURNO],"")</f>
        <v/>
      </c>
      <c r="H398" s="35" t="e">
        <f t="shared" si="7"/>
        <v>#DIV/0!</v>
      </c>
      <c r="I3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9" spans="1:9" x14ac:dyDescent="0.35">
      <c r="A399" s="2"/>
      <c r="B399" t="str">
        <f>_xlfn.XLOOKUP(tblOcupacao[[#This Row],[AMBIENTE]],tblAmbientes[NOME_AMBIENTE],tblAmbientes[ID],"")</f>
        <v/>
      </c>
      <c r="D399" t="str">
        <f>_xlfn.XLOOKUP(tblOcupacao[[#This Row],[TURNO]],tblTurnos[TURNO],tblTurnos[ID_TURNO],"")</f>
        <v/>
      </c>
      <c r="H399" s="35" t="e">
        <f t="shared" si="7"/>
        <v>#DIV/0!</v>
      </c>
      <c r="I3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0" spans="1:9" x14ac:dyDescent="0.35">
      <c r="A400" s="2"/>
      <c r="B400" t="str">
        <f>_xlfn.XLOOKUP(tblOcupacao[[#This Row],[AMBIENTE]],tblAmbientes[NOME_AMBIENTE],tblAmbientes[ID],"")</f>
        <v/>
      </c>
      <c r="D400" t="str">
        <f>_xlfn.XLOOKUP(tblOcupacao[[#This Row],[TURNO]],tblTurnos[TURNO],tblTurnos[ID_TURNO],"")</f>
        <v/>
      </c>
      <c r="H400" s="35" t="e">
        <f t="shared" si="7"/>
        <v>#DIV/0!</v>
      </c>
      <c r="I4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1" spans="1:9" x14ac:dyDescent="0.35">
      <c r="A401" s="2"/>
      <c r="B401" t="str">
        <f>_xlfn.XLOOKUP(tblOcupacao[[#This Row],[AMBIENTE]],tblAmbientes[NOME_AMBIENTE],tblAmbientes[ID],"")</f>
        <v/>
      </c>
      <c r="D401" t="str">
        <f>_xlfn.XLOOKUP(tblOcupacao[[#This Row],[TURNO]],tblTurnos[TURNO],tblTurnos[ID_TURNO],"")</f>
        <v/>
      </c>
      <c r="H401" s="35" t="e">
        <f t="shared" si="7"/>
        <v>#DIV/0!</v>
      </c>
      <c r="I4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2" spans="1:9" x14ac:dyDescent="0.35">
      <c r="A402" s="2"/>
      <c r="B402" t="str">
        <f>_xlfn.XLOOKUP(tblOcupacao[[#This Row],[AMBIENTE]],tblAmbientes[NOME_AMBIENTE],tblAmbientes[ID],"")</f>
        <v/>
      </c>
      <c r="D402" t="str">
        <f>_xlfn.XLOOKUP(tblOcupacao[[#This Row],[TURNO]],tblTurnos[TURNO],tblTurnos[ID_TURNO],"")</f>
        <v/>
      </c>
      <c r="H402" s="35" t="e">
        <f t="shared" si="7"/>
        <v>#DIV/0!</v>
      </c>
      <c r="I4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3" spans="1:9" x14ac:dyDescent="0.35">
      <c r="A403" s="2"/>
      <c r="B403" t="str">
        <f>_xlfn.XLOOKUP(tblOcupacao[[#This Row],[AMBIENTE]],tblAmbientes[NOME_AMBIENTE],tblAmbientes[ID],"")</f>
        <v/>
      </c>
      <c r="D403" t="str">
        <f>_xlfn.XLOOKUP(tblOcupacao[[#This Row],[TURNO]],tblTurnos[TURNO],tblTurnos[ID_TURNO],"")</f>
        <v/>
      </c>
      <c r="H403" s="35" t="e">
        <f t="shared" si="7"/>
        <v>#DIV/0!</v>
      </c>
      <c r="I4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4" spans="1:9" x14ac:dyDescent="0.35">
      <c r="A404" s="2"/>
      <c r="B404" t="str">
        <f>_xlfn.XLOOKUP(tblOcupacao[[#This Row],[AMBIENTE]],tblAmbientes[NOME_AMBIENTE],tblAmbientes[ID],"")</f>
        <v/>
      </c>
      <c r="D404" t="str">
        <f>_xlfn.XLOOKUP(tblOcupacao[[#This Row],[TURNO]],tblTurnos[TURNO],tblTurnos[ID_TURNO],"")</f>
        <v/>
      </c>
      <c r="H404" s="35" t="e">
        <f t="shared" si="7"/>
        <v>#DIV/0!</v>
      </c>
      <c r="I4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5" spans="1:9" x14ac:dyDescent="0.35">
      <c r="A405" s="2"/>
      <c r="B405" t="str">
        <f>_xlfn.XLOOKUP(tblOcupacao[[#This Row],[AMBIENTE]],tblAmbientes[NOME_AMBIENTE],tblAmbientes[ID],"")</f>
        <v/>
      </c>
      <c r="D405" t="str">
        <f>_xlfn.XLOOKUP(tblOcupacao[[#This Row],[TURNO]],tblTurnos[TURNO],tblTurnos[ID_TURNO],"")</f>
        <v/>
      </c>
      <c r="H405" s="35" t="e">
        <f t="shared" si="7"/>
        <v>#DIV/0!</v>
      </c>
      <c r="I4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6" spans="1:9" x14ac:dyDescent="0.35">
      <c r="A406" s="2"/>
      <c r="B406" t="str">
        <f>_xlfn.XLOOKUP(tblOcupacao[[#This Row],[AMBIENTE]],tblAmbientes[NOME_AMBIENTE],tblAmbientes[ID],"")</f>
        <v/>
      </c>
      <c r="D406" t="str">
        <f>_xlfn.XLOOKUP(tblOcupacao[[#This Row],[TURNO]],tblTurnos[TURNO],tblTurnos[ID_TURNO],"")</f>
        <v/>
      </c>
      <c r="H406" s="35" t="e">
        <f t="shared" ref="H406:H433" si="8">$F406/$G406</f>
        <v>#DIV/0!</v>
      </c>
      <c r="I4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7" spans="1:9" x14ac:dyDescent="0.35">
      <c r="A407" s="2"/>
      <c r="B407" t="str">
        <f>_xlfn.XLOOKUP(tblOcupacao[[#This Row],[AMBIENTE]],tblAmbientes[NOME_AMBIENTE],tblAmbientes[ID],"")</f>
        <v/>
      </c>
      <c r="D407" t="str">
        <f>_xlfn.XLOOKUP(tblOcupacao[[#This Row],[TURNO]],tblTurnos[TURNO],tblTurnos[ID_TURNO],"")</f>
        <v/>
      </c>
      <c r="H407" s="35" t="e">
        <f t="shared" si="8"/>
        <v>#DIV/0!</v>
      </c>
      <c r="I4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8" spans="1:9" x14ac:dyDescent="0.35">
      <c r="A408" s="2"/>
      <c r="B408" t="str">
        <f>_xlfn.XLOOKUP(tblOcupacao[[#This Row],[AMBIENTE]],tblAmbientes[NOME_AMBIENTE],tblAmbientes[ID],"")</f>
        <v/>
      </c>
      <c r="D408" t="str">
        <f>_xlfn.XLOOKUP(tblOcupacao[[#This Row],[TURNO]],tblTurnos[TURNO],tblTurnos[ID_TURNO],"")</f>
        <v/>
      </c>
      <c r="H408" s="35" t="e">
        <f t="shared" si="8"/>
        <v>#DIV/0!</v>
      </c>
      <c r="I4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9" spans="1:9" x14ac:dyDescent="0.35">
      <c r="A409" s="2"/>
      <c r="B409" t="str">
        <f>_xlfn.XLOOKUP(tblOcupacao[[#This Row],[AMBIENTE]],tblAmbientes[NOME_AMBIENTE],tblAmbientes[ID],"")</f>
        <v/>
      </c>
      <c r="D409" t="str">
        <f>_xlfn.XLOOKUP(tblOcupacao[[#This Row],[TURNO]],tblTurnos[TURNO],tblTurnos[ID_TURNO],"")</f>
        <v/>
      </c>
      <c r="H409" s="35" t="e">
        <f t="shared" si="8"/>
        <v>#DIV/0!</v>
      </c>
      <c r="I4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0" spans="1:9" x14ac:dyDescent="0.35">
      <c r="A410" s="2"/>
      <c r="B410" t="str">
        <f>_xlfn.XLOOKUP(tblOcupacao[[#This Row],[AMBIENTE]],tblAmbientes[NOME_AMBIENTE],tblAmbientes[ID],"")</f>
        <v/>
      </c>
      <c r="D410" t="str">
        <f>_xlfn.XLOOKUP(tblOcupacao[[#This Row],[TURNO]],tblTurnos[TURNO],tblTurnos[ID_TURNO],"")</f>
        <v/>
      </c>
      <c r="H410" s="35" t="e">
        <f t="shared" si="8"/>
        <v>#DIV/0!</v>
      </c>
      <c r="I4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1" spans="1:9" x14ac:dyDescent="0.35">
      <c r="A411" s="2"/>
      <c r="B411" t="str">
        <f>_xlfn.XLOOKUP(tblOcupacao[[#This Row],[AMBIENTE]],tblAmbientes[NOME_AMBIENTE],tblAmbientes[ID],"")</f>
        <v/>
      </c>
      <c r="D411" t="str">
        <f>_xlfn.XLOOKUP(tblOcupacao[[#This Row],[TURNO]],tblTurnos[TURNO],tblTurnos[ID_TURNO],"")</f>
        <v/>
      </c>
      <c r="H411" s="35" t="e">
        <f t="shared" si="8"/>
        <v>#DIV/0!</v>
      </c>
      <c r="I4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2" spans="1:9" x14ac:dyDescent="0.35">
      <c r="A412" s="2"/>
      <c r="B412" t="str">
        <f>_xlfn.XLOOKUP(tblOcupacao[[#This Row],[AMBIENTE]],tblAmbientes[NOME_AMBIENTE],tblAmbientes[ID],"")</f>
        <v/>
      </c>
      <c r="D412" t="str">
        <f>_xlfn.XLOOKUP(tblOcupacao[[#This Row],[TURNO]],tblTurnos[TURNO],tblTurnos[ID_TURNO],"")</f>
        <v/>
      </c>
      <c r="H412" s="35" t="e">
        <f t="shared" si="8"/>
        <v>#DIV/0!</v>
      </c>
      <c r="I4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3" spans="1:9" x14ac:dyDescent="0.35">
      <c r="A413" s="2"/>
      <c r="B413" t="str">
        <f>_xlfn.XLOOKUP(tblOcupacao[[#This Row],[AMBIENTE]],tblAmbientes[NOME_AMBIENTE],tblAmbientes[ID],"")</f>
        <v/>
      </c>
      <c r="D413" t="str">
        <f>_xlfn.XLOOKUP(tblOcupacao[[#This Row],[TURNO]],tblTurnos[TURNO],tblTurnos[ID_TURNO],"")</f>
        <v/>
      </c>
      <c r="H413" s="35" t="e">
        <f t="shared" si="8"/>
        <v>#DIV/0!</v>
      </c>
      <c r="I4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4" spans="1:9" x14ac:dyDescent="0.35">
      <c r="A414" s="2"/>
      <c r="B414" t="str">
        <f>_xlfn.XLOOKUP(tblOcupacao[[#This Row],[AMBIENTE]],tblAmbientes[NOME_AMBIENTE],tblAmbientes[ID],"")</f>
        <v/>
      </c>
      <c r="D414" t="str">
        <f>_xlfn.XLOOKUP(tblOcupacao[[#This Row],[TURNO]],tblTurnos[TURNO],tblTurnos[ID_TURNO],"")</f>
        <v/>
      </c>
      <c r="H414" s="35" t="e">
        <f t="shared" si="8"/>
        <v>#DIV/0!</v>
      </c>
      <c r="I4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5" spans="1:9" x14ac:dyDescent="0.35">
      <c r="A415" s="2"/>
      <c r="B415" t="str">
        <f>_xlfn.XLOOKUP(tblOcupacao[[#This Row],[AMBIENTE]],tblAmbientes[NOME_AMBIENTE],tblAmbientes[ID],"")</f>
        <v/>
      </c>
      <c r="D415" t="str">
        <f>_xlfn.XLOOKUP(tblOcupacao[[#This Row],[TURNO]],tblTurnos[TURNO],tblTurnos[ID_TURNO],"")</f>
        <v/>
      </c>
      <c r="H415" s="35" t="e">
        <f t="shared" si="8"/>
        <v>#DIV/0!</v>
      </c>
      <c r="I4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6" spans="1:9" x14ac:dyDescent="0.35">
      <c r="A416" s="2"/>
      <c r="B416" t="str">
        <f>_xlfn.XLOOKUP(tblOcupacao[[#This Row],[AMBIENTE]],tblAmbientes[NOME_AMBIENTE],tblAmbientes[ID],"")</f>
        <v/>
      </c>
      <c r="D416" t="str">
        <f>_xlfn.XLOOKUP(tblOcupacao[[#This Row],[TURNO]],tblTurnos[TURNO],tblTurnos[ID_TURNO],"")</f>
        <v/>
      </c>
      <c r="H416" s="35" t="e">
        <f t="shared" si="8"/>
        <v>#DIV/0!</v>
      </c>
      <c r="I4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7" spans="1:9" x14ac:dyDescent="0.35">
      <c r="A417" s="2"/>
      <c r="B417" t="str">
        <f>_xlfn.XLOOKUP(tblOcupacao[[#This Row],[AMBIENTE]],tblAmbientes[NOME_AMBIENTE],tblAmbientes[ID],"")</f>
        <v/>
      </c>
      <c r="D417" t="str">
        <f>_xlfn.XLOOKUP(tblOcupacao[[#This Row],[TURNO]],tblTurnos[TURNO],tblTurnos[ID_TURNO],"")</f>
        <v/>
      </c>
      <c r="H417" s="35" t="e">
        <f t="shared" si="8"/>
        <v>#DIV/0!</v>
      </c>
      <c r="I4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8" spans="1:9" x14ac:dyDescent="0.35">
      <c r="A418" s="2"/>
      <c r="B418" t="str">
        <f>_xlfn.XLOOKUP(tblOcupacao[[#This Row],[AMBIENTE]],tblAmbientes[NOME_AMBIENTE],tblAmbientes[ID],"")</f>
        <v/>
      </c>
      <c r="D418" t="str">
        <f>_xlfn.XLOOKUP(tblOcupacao[[#This Row],[TURNO]],tblTurnos[TURNO],tblTurnos[ID_TURNO],"")</f>
        <v/>
      </c>
      <c r="H418" s="35" t="e">
        <f t="shared" si="8"/>
        <v>#DIV/0!</v>
      </c>
      <c r="I4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9" spans="1:9" x14ac:dyDescent="0.35">
      <c r="A419" s="2"/>
      <c r="B419" t="str">
        <f>_xlfn.XLOOKUP(tblOcupacao[[#This Row],[AMBIENTE]],tblAmbientes[NOME_AMBIENTE],tblAmbientes[ID],"")</f>
        <v/>
      </c>
      <c r="D419" t="str">
        <f>_xlfn.XLOOKUP(tblOcupacao[[#This Row],[TURNO]],tblTurnos[TURNO],tblTurnos[ID_TURNO],"")</f>
        <v/>
      </c>
      <c r="H419" s="35" t="e">
        <f t="shared" si="8"/>
        <v>#DIV/0!</v>
      </c>
      <c r="I4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0" spans="1:9" x14ac:dyDescent="0.35">
      <c r="A420" s="2"/>
      <c r="B420" t="str">
        <f>_xlfn.XLOOKUP(tblOcupacao[[#This Row],[AMBIENTE]],tblAmbientes[NOME_AMBIENTE],tblAmbientes[ID],"")</f>
        <v/>
      </c>
      <c r="D420" t="str">
        <f>_xlfn.XLOOKUP(tblOcupacao[[#This Row],[TURNO]],tblTurnos[TURNO],tblTurnos[ID_TURNO],"")</f>
        <v/>
      </c>
      <c r="H420" s="35" t="e">
        <f t="shared" si="8"/>
        <v>#DIV/0!</v>
      </c>
      <c r="I4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1" spans="1:9" x14ac:dyDescent="0.35">
      <c r="A421" s="2"/>
      <c r="B421" t="str">
        <f>_xlfn.XLOOKUP(tblOcupacao[[#This Row],[AMBIENTE]],tblAmbientes[NOME_AMBIENTE],tblAmbientes[ID],"")</f>
        <v/>
      </c>
      <c r="D421" t="str">
        <f>_xlfn.XLOOKUP(tblOcupacao[[#This Row],[TURNO]],tblTurnos[TURNO],tblTurnos[ID_TURNO],"")</f>
        <v/>
      </c>
      <c r="H421" s="35" t="e">
        <f t="shared" si="8"/>
        <v>#DIV/0!</v>
      </c>
      <c r="I4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2" spans="1:9" x14ac:dyDescent="0.35">
      <c r="A422" s="2"/>
      <c r="B422" t="str">
        <f>_xlfn.XLOOKUP(tblOcupacao[[#This Row],[AMBIENTE]],tblAmbientes[NOME_AMBIENTE],tblAmbientes[ID],"")</f>
        <v/>
      </c>
      <c r="D422" t="str">
        <f>_xlfn.XLOOKUP(tblOcupacao[[#This Row],[TURNO]],tblTurnos[TURNO],tblTurnos[ID_TURNO],"")</f>
        <v/>
      </c>
      <c r="H422" s="35" t="e">
        <f t="shared" si="8"/>
        <v>#DIV/0!</v>
      </c>
      <c r="I4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3" spans="1:9" x14ac:dyDescent="0.35">
      <c r="A423" s="2"/>
      <c r="B423" t="str">
        <f>_xlfn.XLOOKUP(tblOcupacao[[#This Row],[AMBIENTE]],tblAmbientes[NOME_AMBIENTE],tblAmbientes[ID],"")</f>
        <v/>
      </c>
      <c r="D423" t="str">
        <f>_xlfn.XLOOKUP(tblOcupacao[[#This Row],[TURNO]],tblTurnos[TURNO],tblTurnos[ID_TURNO],"")</f>
        <v/>
      </c>
      <c r="H423" s="35" t="e">
        <f t="shared" si="8"/>
        <v>#DIV/0!</v>
      </c>
      <c r="I4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4" spans="1:9" x14ac:dyDescent="0.35">
      <c r="A424" s="2"/>
      <c r="B424" t="str">
        <f>_xlfn.XLOOKUP(tblOcupacao[[#This Row],[AMBIENTE]],tblAmbientes[NOME_AMBIENTE],tblAmbientes[ID],"")</f>
        <v/>
      </c>
      <c r="D424" t="str">
        <f>_xlfn.XLOOKUP(tblOcupacao[[#This Row],[TURNO]],tblTurnos[TURNO],tblTurnos[ID_TURNO],"")</f>
        <v/>
      </c>
      <c r="H424" s="35" t="e">
        <f t="shared" si="8"/>
        <v>#DIV/0!</v>
      </c>
      <c r="I4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5" spans="1:9" x14ac:dyDescent="0.35">
      <c r="A425" s="2"/>
      <c r="B425" t="str">
        <f>_xlfn.XLOOKUP(tblOcupacao[[#This Row],[AMBIENTE]],tblAmbientes[NOME_AMBIENTE],tblAmbientes[ID],"")</f>
        <v/>
      </c>
      <c r="D425" t="str">
        <f>_xlfn.XLOOKUP(tblOcupacao[[#This Row],[TURNO]],tblTurnos[TURNO],tblTurnos[ID_TURNO],"")</f>
        <v/>
      </c>
      <c r="H425" s="35" t="e">
        <f t="shared" si="8"/>
        <v>#DIV/0!</v>
      </c>
      <c r="I4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6" spans="1:9" x14ac:dyDescent="0.35">
      <c r="A426" s="2"/>
      <c r="B426" t="str">
        <f>_xlfn.XLOOKUP(tblOcupacao[[#This Row],[AMBIENTE]],tblAmbientes[NOME_AMBIENTE],tblAmbientes[ID],"")</f>
        <v/>
      </c>
      <c r="D426" t="str">
        <f>_xlfn.XLOOKUP(tblOcupacao[[#This Row],[TURNO]],tblTurnos[TURNO],tblTurnos[ID_TURNO],"")</f>
        <v/>
      </c>
      <c r="H426" s="35" t="e">
        <f t="shared" si="8"/>
        <v>#DIV/0!</v>
      </c>
      <c r="I4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7" spans="1:9" x14ac:dyDescent="0.35">
      <c r="A427" s="2"/>
      <c r="B427" t="str">
        <f>_xlfn.XLOOKUP(tblOcupacao[[#This Row],[AMBIENTE]],tblAmbientes[NOME_AMBIENTE],tblAmbientes[ID],"")</f>
        <v/>
      </c>
      <c r="D427" t="str">
        <f>_xlfn.XLOOKUP(tblOcupacao[[#This Row],[TURNO]],tblTurnos[TURNO],tblTurnos[ID_TURNO],"")</f>
        <v/>
      </c>
      <c r="H427" s="35" t="e">
        <f t="shared" si="8"/>
        <v>#DIV/0!</v>
      </c>
      <c r="I4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8" spans="1:9" x14ac:dyDescent="0.35">
      <c r="A428" s="2"/>
      <c r="B428" t="str">
        <f>_xlfn.XLOOKUP(tblOcupacao[[#This Row],[AMBIENTE]],tblAmbientes[NOME_AMBIENTE],tblAmbientes[ID],"")</f>
        <v/>
      </c>
      <c r="D428" t="str">
        <f>_xlfn.XLOOKUP(tblOcupacao[[#This Row],[TURNO]],tblTurnos[TURNO],tblTurnos[ID_TURNO],"")</f>
        <v/>
      </c>
      <c r="H428" s="35" t="e">
        <f t="shared" si="8"/>
        <v>#DIV/0!</v>
      </c>
      <c r="I4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9" spans="1:9" x14ac:dyDescent="0.35">
      <c r="A429" s="2"/>
      <c r="B429" t="str">
        <f>_xlfn.XLOOKUP(tblOcupacao[[#This Row],[AMBIENTE]],tblAmbientes[NOME_AMBIENTE],tblAmbientes[ID],"")</f>
        <v/>
      </c>
      <c r="D429" t="str">
        <f>_xlfn.XLOOKUP(tblOcupacao[[#This Row],[TURNO]],tblTurnos[TURNO],tblTurnos[ID_TURNO],"")</f>
        <v/>
      </c>
      <c r="H429" s="35" t="e">
        <f t="shared" si="8"/>
        <v>#DIV/0!</v>
      </c>
      <c r="I4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0" spans="1:9" x14ac:dyDescent="0.35">
      <c r="A430" s="2"/>
      <c r="B430" t="str">
        <f>_xlfn.XLOOKUP(tblOcupacao[[#This Row],[AMBIENTE]],tblAmbientes[NOME_AMBIENTE],tblAmbientes[ID],"")</f>
        <v/>
      </c>
      <c r="D430" t="str">
        <f>_xlfn.XLOOKUP(tblOcupacao[[#This Row],[TURNO]],tblTurnos[TURNO],tblTurnos[ID_TURNO],"")</f>
        <v/>
      </c>
      <c r="H430" s="35" t="e">
        <f t="shared" si="8"/>
        <v>#DIV/0!</v>
      </c>
      <c r="I4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1" spans="1:9" x14ac:dyDescent="0.35">
      <c r="A431" s="2"/>
      <c r="B431" t="str">
        <f>_xlfn.XLOOKUP(tblOcupacao[[#This Row],[AMBIENTE]],tblAmbientes[NOME_AMBIENTE],tblAmbientes[ID],"")</f>
        <v/>
      </c>
      <c r="D431" t="str">
        <f>_xlfn.XLOOKUP(tblOcupacao[[#This Row],[TURNO]],tblTurnos[TURNO],tblTurnos[ID_TURNO],"")</f>
        <v/>
      </c>
      <c r="H431" s="35" t="e">
        <f t="shared" si="8"/>
        <v>#DIV/0!</v>
      </c>
      <c r="I4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2" spans="1:9" x14ac:dyDescent="0.35">
      <c r="A432" s="2"/>
      <c r="B432" t="str">
        <f>_xlfn.XLOOKUP(tblOcupacao[[#This Row],[AMBIENTE]],tblAmbientes[NOME_AMBIENTE],tblAmbientes[ID],"")</f>
        <v/>
      </c>
      <c r="D432" t="str">
        <f>_xlfn.XLOOKUP(tblOcupacao[[#This Row],[TURNO]],tblTurnos[TURNO],tblTurnos[ID_TURNO],"")</f>
        <v/>
      </c>
      <c r="H432" s="35" t="e">
        <f t="shared" si="8"/>
        <v>#DIV/0!</v>
      </c>
      <c r="I4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3" spans="1:9" x14ac:dyDescent="0.35">
      <c r="A433" s="2"/>
      <c r="B433" t="str">
        <f>_xlfn.XLOOKUP(tblOcupacao[[#This Row],[AMBIENTE]],tblAmbientes[NOME_AMBIENTE],tblAmbientes[ID],"")</f>
        <v/>
      </c>
      <c r="D433" t="str">
        <f>_xlfn.XLOOKUP(tblOcupacao[[#This Row],[TURNO]],tblTurnos[TURNO],tblTurnos[ID_TURNO],"")</f>
        <v/>
      </c>
      <c r="H433" s="35" t="e">
        <f t="shared" si="8"/>
        <v>#DIV/0!</v>
      </c>
      <c r="I433" t="e">
        <f>IF(tblOcupacao[[#This Row],[PERCENTUAL_OCUPACAO]]&gt;0.75,"ALTA",IF(AND(tblOcupacao[[#This Row],[PERCENTUAL_OCUPACAO]]&lt;0.74,tblOcupacao[[#This Row],[PERCENTUAL_OCUPACAO]]&gt;0.5),"MÉDIO","BAIXO"))</f>
        <v>#DIV/0!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BD7557-918D-4592-A40F-140DBF3356B7}">
          <x14:formula1>
            <xm:f>AMBIENTES!$A$2:$A$17</xm:f>
          </x14:formula1>
          <xm:sqref>B433:C433</xm:sqref>
        </x14:dataValidation>
        <x14:dataValidation type="list" allowBlank="1" showInputMessage="1" showErrorMessage="1" xr:uid="{46B989EC-1313-484F-9B66-5D28B01233F5}">
          <x14:formula1>
            <xm:f>TURNOS!$A$3:$A$5</xm:f>
          </x14:formula1>
          <xm:sqref>D433</xm:sqref>
        </x14:dataValidation>
        <x14:dataValidation type="list" allowBlank="1" showInputMessage="1" showErrorMessage="1" xr:uid="{0E9C4051-D7A6-4EF4-9578-908322ADD830}">
          <x14:formula1>
            <xm:f>AMBIENTES!$B$2:$B$17</xm:f>
          </x14:formula1>
          <xm:sqref>C2:C432</xm:sqref>
        </x14:dataValidation>
        <x14:dataValidation type="list" allowBlank="1" showInputMessage="1" showErrorMessage="1" xr:uid="{0FAD73F3-2E48-462F-AE30-017C0CC899ED}">
          <x14:formula1>
            <xm:f>TURNOS!$B$3:$B$5</xm:f>
          </x14:formula1>
          <xm:sqref>E2:E433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C86E-351D-46E2-B1CA-FA4E1FF141AE}">
  <sheetPr codeName="Planilha11">
    <tabColor theme="5" tint="0.39997558519241921"/>
  </sheetPr>
  <dimension ref="A1:G40"/>
  <sheetViews>
    <sheetView workbookViewId="0">
      <selection activeCell="G2" sqref="G2"/>
    </sheetView>
  </sheetViews>
  <sheetFormatPr defaultRowHeight="14.5" x14ac:dyDescent="0.35"/>
  <cols>
    <col min="1" max="1" width="15.453125" customWidth="1"/>
    <col min="2" max="2" width="25.81640625" bestFit="1" customWidth="1"/>
    <col min="3" max="4" width="19.54296875" customWidth="1"/>
    <col min="5" max="5" width="23.26953125" customWidth="1"/>
    <col min="6" max="6" width="17.54296875" bestFit="1" customWidth="1"/>
    <col min="7" max="7" width="25.54296875" bestFit="1" customWidth="1"/>
  </cols>
  <sheetData>
    <row r="1" spans="1:7" x14ac:dyDescent="0.35">
      <c r="A1" t="s">
        <v>138</v>
      </c>
      <c r="B1" t="s">
        <v>235</v>
      </c>
      <c r="C1" t="s">
        <v>127</v>
      </c>
      <c r="D1" t="s">
        <v>242</v>
      </c>
      <c r="E1" t="s">
        <v>155</v>
      </c>
      <c r="F1" t="s">
        <v>156</v>
      </c>
      <c r="G1" t="s">
        <v>6</v>
      </c>
    </row>
    <row r="2" spans="1:7" x14ac:dyDescent="0.35">
      <c r="A2">
        <f>_xlfn.XLOOKUP($B2,tblInstrutores[NOME_COMPLETO],tblInstrutores[ID])</f>
        <v>1</v>
      </c>
      <c r="B2" t="s">
        <v>57</v>
      </c>
      <c r="C2" s="2">
        <v>46108</v>
      </c>
      <c r="D2" s="2">
        <v>46108</v>
      </c>
      <c r="E2" s="42">
        <v>8</v>
      </c>
      <c r="F2" t="s">
        <v>243</v>
      </c>
    </row>
    <row r="3" spans="1:7" x14ac:dyDescent="0.35">
      <c r="A3">
        <f>_xlfn.XLOOKUP($B3,tblInstrutores[NOME_COMPLETO],tblInstrutores[ID])</f>
        <v>2</v>
      </c>
      <c r="B3" t="s">
        <v>62</v>
      </c>
      <c r="C3" s="2">
        <v>46083</v>
      </c>
      <c r="D3" s="2">
        <v>46108</v>
      </c>
      <c r="E3" s="42">
        <v>50</v>
      </c>
      <c r="F3" t="s">
        <v>243</v>
      </c>
    </row>
    <row r="4" spans="1:7" x14ac:dyDescent="0.35">
      <c r="A4">
        <f>_xlfn.XLOOKUP($B4,tblInstrutores[NOME_COMPLETO],tblInstrutores[ID])</f>
        <v>2</v>
      </c>
      <c r="B4" t="s">
        <v>62</v>
      </c>
      <c r="C4" s="2">
        <v>46084</v>
      </c>
      <c r="D4" s="2">
        <v>46111</v>
      </c>
      <c r="E4" s="42">
        <v>19</v>
      </c>
      <c r="F4" t="s">
        <v>243</v>
      </c>
    </row>
    <row r="5" spans="1:7" x14ac:dyDescent="0.35">
      <c r="A5">
        <f>_xlfn.XLOOKUP($B5,tblInstrutores[NOME_COMPLETO],tblInstrutores[ID])</f>
        <v>2</v>
      </c>
      <c r="B5" t="s">
        <v>62</v>
      </c>
      <c r="C5" s="2">
        <v>46092</v>
      </c>
      <c r="D5" s="2">
        <v>46092</v>
      </c>
      <c r="E5" s="42">
        <v>2</v>
      </c>
      <c r="F5" t="s">
        <v>243</v>
      </c>
    </row>
    <row r="6" spans="1:7" x14ac:dyDescent="0.35">
      <c r="A6">
        <f>_xlfn.XLOOKUP($B6,tblInstrutores[NOME_COMPLETO],tblInstrutores[ID])</f>
        <v>2</v>
      </c>
      <c r="B6" t="s">
        <v>62</v>
      </c>
      <c r="C6" s="2">
        <v>46107</v>
      </c>
      <c r="D6" s="2">
        <v>46107</v>
      </c>
      <c r="E6" s="42">
        <v>1</v>
      </c>
      <c r="F6" t="s">
        <v>243</v>
      </c>
    </row>
    <row r="7" spans="1:7" x14ac:dyDescent="0.35">
      <c r="A7" t="e">
        <f>_xlfn.XLOOKUP($B7,tblInstrutores[NOME_COMPLETO],tblInstrutores[ID])</f>
        <v>#N/A</v>
      </c>
      <c r="E7" s="42"/>
    </row>
    <row r="8" spans="1:7" x14ac:dyDescent="0.35">
      <c r="A8" t="e">
        <f>_xlfn.XLOOKUP($B8,tblInstrutores[NOME_COMPLETO],tblInstrutores[ID])</f>
        <v>#N/A</v>
      </c>
      <c r="E8" s="42"/>
    </row>
    <row r="9" spans="1:7" x14ac:dyDescent="0.35">
      <c r="A9" t="e">
        <f>_xlfn.XLOOKUP($B9,tblInstrutores[NOME_COMPLETO],tblInstrutores[ID])</f>
        <v>#N/A</v>
      </c>
      <c r="E9" s="42"/>
    </row>
    <row r="10" spans="1:7" x14ac:dyDescent="0.35">
      <c r="A10" t="e">
        <f>_xlfn.XLOOKUP($B10,tblInstrutores[NOME_COMPLETO],tblInstrutores[ID])</f>
        <v>#N/A</v>
      </c>
      <c r="E10" s="42"/>
    </row>
    <row r="11" spans="1:7" x14ac:dyDescent="0.35">
      <c r="A11" t="e">
        <f>_xlfn.XLOOKUP($B11,tblInstrutores[NOME_COMPLETO],tblInstrutores[ID])</f>
        <v>#N/A</v>
      </c>
      <c r="E11" s="42"/>
    </row>
    <row r="12" spans="1:7" x14ac:dyDescent="0.35">
      <c r="A12" t="e">
        <f>_xlfn.XLOOKUP($B12,tblInstrutores[NOME_COMPLETO],tblInstrutores[ID])</f>
        <v>#N/A</v>
      </c>
      <c r="E12" s="42"/>
    </row>
    <row r="13" spans="1:7" x14ac:dyDescent="0.35">
      <c r="A13" t="e">
        <f>_xlfn.XLOOKUP($B13,tblInstrutores[NOME_COMPLETO],tblInstrutores[ID])</f>
        <v>#N/A</v>
      </c>
      <c r="E13" s="42"/>
    </row>
    <row r="14" spans="1:7" x14ac:dyDescent="0.35">
      <c r="A14" t="e">
        <f>_xlfn.XLOOKUP($B14,tblInstrutores[NOME_COMPLETO],tblInstrutores[ID])</f>
        <v>#N/A</v>
      </c>
      <c r="E14" s="42"/>
    </row>
    <row r="15" spans="1:7" x14ac:dyDescent="0.35">
      <c r="A15" t="e">
        <f>_xlfn.XLOOKUP($B15,tblInstrutores[NOME_COMPLETO],tblInstrutores[ID])</f>
        <v>#N/A</v>
      </c>
      <c r="E15" s="42"/>
    </row>
    <row r="16" spans="1:7" x14ac:dyDescent="0.35">
      <c r="A16" t="e">
        <f>_xlfn.XLOOKUP($B16,tblInstrutores[NOME_COMPLETO],tblInstrutores[ID])</f>
        <v>#N/A</v>
      </c>
      <c r="E16" s="42"/>
    </row>
    <row r="17" spans="1:5" x14ac:dyDescent="0.35">
      <c r="A17" t="e">
        <f>_xlfn.XLOOKUP($B17,tblInstrutores[NOME_COMPLETO],tblInstrutores[ID])</f>
        <v>#N/A</v>
      </c>
      <c r="E17" s="42"/>
    </row>
    <row r="18" spans="1:5" x14ac:dyDescent="0.35">
      <c r="A18" t="e">
        <f>_xlfn.XLOOKUP($B18,tblInstrutores[NOME_COMPLETO],tblInstrutores[ID])</f>
        <v>#N/A</v>
      </c>
      <c r="E18" s="42"/>
    </row>
    <row r="19" spans="1:5" x14ac:dyDescent="0.35">
      <c r="A19" t="e">
        <f>_xlfn.XLOOKUP($B19,tblInstrutores[NOME_COMPLETO],tblInstrutores[ID])</f>
        <v>#N/A</v>
      </c>
      <c r="E19" s="42"/>
    </row>
    <row r="20" spans="1:5" x14ac:dyDescent="0.35">
      <c r="A20" t="e">
        <f>_xlfn.XLOOKUP($B20,tblInstrutores[NOME_COMPLETO],tblInstrutores[ID])</f>
        <v>#N/A</v>
      </c>
      <c r="E20" s="42"/>
    </row>
    <row r="21" spans="1:5" x14ac:dyDescent="0.35">
      <c r="A21" t="e">
        <f>_xlfn.XLOOKUP($B21,tblInstrutores[NOME_COMPLETO],tblInstrutores[ID])</f>
        <v>#N/A</v>
      </c>
      <c r="E21" s="42"/>
    </row>
    <row r="22" spans="1:5" x14ac:dyDescent="0.35">
      <c r="A22" t="e">
        <f>_xlfn.XLOOKUP($B22,tblInstrutores[NOME_COMPLETO],tblInstrutores[ID])</f>
        <v>#N/A</v>
      </c>
      <c r="E22" s="42"/>
    </row>
    <row r="23" spans="1:5" x14ac:dyDescent="0.35">
      <c r="A23" t="e">
        <f>_xlfn.XLOOKUP($B23,tblInstrutores[NOME_COMPLETO],tblInstrutores[ID])</f>
        <v>#N/A</v>
      </c>
      <c r="E23" s="42"/>
    </row>
    <row r="24" spans="1:5" x14ac:dyDescent="0.35">
      <c r="A24" t="e">
        <f>_xlfn.XLOOKUP($B24,tblInstrutores[NOME_COMPLETO],tblInstrutores[ID])</f>
        <v>#N/A</v>
      </c>
      <c r="E24" s="42"/>
    </row>
    <row r="25" spans="1:5" x14ac:dyDescent="0.35">
      <c r="A25" t="e">
        <f>_xlfn.XLOOKUP($B25,tblInstrutores[NOME_COMPLETO],tblInstrutores[ID])</f>
        <v>#N/A</v>
      </c>
      <c r="E25" s="42"/>
    </row>
    <row r="26" spans="1:5" x14ac:dyDescent="0.35">
      <c r="A26" t="e">
        <f>_xlfn.XLOOKUP($B26,tblInstrutores[NOME_COMPLETO],tblInstrutores[ID])</f>
        <v>#N/A</v>
      </c>
      <c r="E26" s="42"/>
    </row>
    <row r="27" spans="1:5" x14ac:dyDescent="0.35">
      <c r="A27" t="e">
        <f>_xlfn.XLOOKUP($B27,tblInstrutores[NOME_COMPLETO],tblInstrutores[ID])</f>
        <v>#N/A</v>
      </c>
      <c r="E27" s="42"/>
    </row>
    <row r="28" spans="1:5" x14ac:dyDescent="0.35">
      <c r="A28" t="e">
        <f>_xlfn.XLOOKUP($B28,tblInstrutores[NOME_COMPLETO],tblInstrutores[ID])</f>
        <v>#N/A</v>
      </c>
      <c r="E28" s="42"/>
    </row>
    <row r="29" spans="1:5" x14ac:dyDescent="0.35">
      <c r="A29" t="e">
        <f>_xlfn.XLOOKUP($B29,tblInstrutores[NOME_COMPLETO],tblInstrutores[ID])</f>
        <v>#N/A</v>
      </c>
      <c r="E29" s="42"/>
    </row>
    <row r="30" spans="1:5" x14ac:dyDescent="0.35">
      <c r="A30" t="e">
        <f>_xlfn.XLOOKUP($B30,tblInstrutores[NOME_COMPLETO],tblInstrutores[ID])</f>
        <v>#N/A</v>
      </c>
      <c r="E30" s="42"/>
    </row>
    <row r="31" spans="1:5" x14ac:dyDescent="0.35">
      <c r="A31" t="e">
        <f>_xlfn.XLOOKUP($B31,tblInstrutores[NOME_COMPLETO],tblInstrutores[ID])</f>
        <v>#N/A</v>
      </c>
      <c r="E31" s="42"/>
    </row>
    <row r="32" spans="1:5" x14ac:dyDescent="0.35">
      <c r="A32" t="e">
        <f>_xlfn.XLOOKUP($B32,tblInstrutores[NOME_COMPLETO],tblInstrutores[ID])</f>
        <v>#N/A</v>
      </c>
      <c r="E32" s="42"/>
    </row>
    <row r="33" spans="1:5" x14ac:dyDescent="0.35">
      <c r="A33" t="e">
        <f>_xlfn.XLOOKUP($B33,tblInstrutores[NOME_COMPLETO],tblInstrutores[ID])</f>
        <v>#N/A</v>
      </c>
      <c r="E33" s="42"/>
    </row>
    <row r="34" spans="1:5" x14ac:dyDescent="0.35">
      <c r="A34" t="e">
        <f>_xlfn.XLOOKUP($B34,tblInstrutores[NOME_COMPLETO],tblInstrutores[ID])</f>
        <v>#N/A</v>
      </c>
      <c r="E34" s="42"/>
    </row>
    <row r="35" spans="1:5" x14ac:dyDescent="0.35">
      <c r="A35" t="e">
        <f>_xlfn.XLOOKUP($B35,tblInstrutores[NOME_COMPLETO],tblInstrutores[ID])</f>
        <v>#N/A</v>
      </c>
      <c r="E35" s="42"/>
    </row>
    <row r="36" spans="1:5" x14ac:dyDescent="0.35">
      <c r="A36" t="e">
        <f>_xlfn.XLOOKUP($B36,tblInstrutores[NOME_COMPLETO],tblInstrutores[ID])</f>
        <v>#N/A</v>
      </c>
      <c r="E36" s="42"/>
    </row>
    <row r="37" spans="1:5" x14ac:dyDescent="0.35">
      <c r="A37" t="e">
        <f>_xlfn.XLOOKUP($B37,tblInstrutores[NOME_COMPLETO],tblInstrutores[ID])</f>
        <v>#N/A</v>
      </c>
      <c r="E37" s="42"/>
    </row>
    <row r="38" spans="1:5" x14ac:dyDescent="0.35">
      <c r="A38" t="e">
        <f>_xlfn.XLOOKUP($B38,tblInstrutores[NOME_COMPLETO],tblInstrutores[ID])</f>
        <v>#N/A</v>
      </c>
      <c r="E38" s="42"/>
    </row>
    <row r="39" spans="1:5" x14ac:dyDescent="0.35">
      <c r="A39" t="e">
        <f>_xlfn.XLOOKUP($B39,tblInstrutores[NOME_COMPLETO],tblInstrutores[ID])</f>
        <v>#N/A</v>
      </c>
      <c r="E39" s="42"/>
    </row>
    <row r="40" spans="1:5" x14ac:dyDescent="0.35">
      <c r="A40" t="e">
        <f>_xlfn.XLOOKUP($B40,tblInstrutores[NOME_COMPLETO],tblInstrutores[ID])</f>
        <v>#N/A</v>
      </c>
      <c r="E40" s="42"/>
    </row>
  </sheetData>
  <phoneticPr fontId="1" type="noConversion"/>
  <dataValidations count="1">
    <dataValidation type="list" allowBlank="1" showInputMessage="1" showErrorMessage="1" sqref="F2:F40" xr:uid="{6377533E-C9E5-44E7-A2B7-0BF25F3F89F1}">
      <formula1>"Reunião Pedagógica, Capacitação, Planejamento, Correção, Outros"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C827CB-D1B7-438F-A826-696BB8365317}">
          <x14:formula1>
            <xm:f>INSTRUTORES!$B$2:$B$14</xm:f>
          </x14:formula1>
          <xm:sqref>B2:B40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BFF6-9D73-4BD7-B23B-101155BBD0C0}">
  <sheetPr codeName="Planilha10"/>
  <dimension ref="A1:J11"/>
  <sheetViews>
    <sheetView workbookViewId="0">
      <selection activeCell="H25" sqref="H25"/>
    </sheetView>
  </sheetViews>
  <sheetFormatPr defaultRowHeight="14.5" x14ac:dyDescent="0.35"/>
  <cols>
    <col min="1" max="1" width="14" customWidth="1"/>
    <col min="2" max="2" width="13.7265625" customWidth="1"/>
    <col min="3" max="4" width="15.453125" customWidth="1"/>
    <col min="5" max="5" width="12.1796875" customWidth="1"/>
    <col min="6" max="6" width="10.1796875" customWidth="1"/>
    <col min="7" max="7" width="16.26953125" customWidth="1"/>
    <col min="8" max="8" width="18.26953125" customWidth="1"/>
    <col min="9" max="9" width="20.26953125" customWidth="1"/>
    <col min="10" max="10" width="14.54296875" customWidth="1"/>
  </cols>
  <sheetData>
    <row r="1" spans="1:10" x14ac:dyDescent="0.35">
      <c r="A1" t="s">
        <v>137</v>
      </c>
      <c r="B1" t="s">
        <v>150</v>
      </c>
      <c r="C1" t="s">
        <v>138</v>
      </c>
      <c r="D1" t="s">
        <v>235</v>
      </c>
      <c r="E1" t="s">
        <v>121</v>
      </c>
      <c r="F1" t="s">
        <v>151</v>
      </c>
      <c r="G1" t="s">
        <v>152</v>
      </c>
      <c r="H1" t="s">
        <v>153</v>
      </c>
      <c r="I1" t="s">
        <v>154</v>
      </c>
      <c r="J1" t="s">
        <v>56</v>
      </c>
    </row>
    <row r="2" spans="1:10" x14ac:dyDescent="0.35">
      <c r="B2" s="2"/>
      <c r="H2" s="2"/>
    </row>
    <row r="3" spans="1:10" x14ac:dyDescent="0.35">
      <c r="B3" s="2"/>
      <c r="C3" t="str">
        <f>_xlfn.XLOOKUP(Tabela13[[#This Row],[INSTRUTOR]],tblInstrutores[NOME_COMPLETO],tblInstrutores[ID],"")</f>
        <v/>
      </c>
    </row>
    <row r="4" spans="1:10" x14ac:dyDescent="0.35">
      <c r="B4" s="2"/>
      <c r="C4" t="str">
        <f>_xlfn.XLOOKUP(Tabela13[[#This Row],[INSTRUTOR]],tblInstrutores[NOME_COMPLETO],tblInstrutores[ID],"")</f>
        <v/>
      </c>
      <c r="H4" s="2"/>
    </row>
    <row r="5" spans="1:10" x14ac:dyDescent="0.35">
      <c r="B5" s="2"/>
      <c r="C5" t="str">
        <f>_xlfn.XLOOKUP(Tabela13[[#This Row],[INSTRUTOR]],tblInstrutores[NOME_COMPLETO],tblInstrutores[ID],"")</f>
        <v/>
      </c>
      <c r="H5" s="2"/>
    </row>
    <row r="6" spans="1:10" x14ac:dyDescent="0.35">
      <c r="B6" s="2"/>
      <c r="C6" t="str">
        <f>_xlfn.XLOOKUP(Tabela13[[#This Row],[INSTRUTOR]],tblInstrutores[NOME_COMPLETO],tblInstrutores[ID],"")</f>
        <v/>
      </c>
      <c r="H6" s="2"/>
    </row>
    <row r="7" spans="1:10" x14ac:dyDescent="0.35">
      <c r="B7" s="2"/>
      <c r="C7" t="str">
        <f>_xlfn.XLOOKUP(Tabela13[[#This Row],[INSTRUTOR]],tblInstrutores[NOME_COMPLETO],tblInstrutores[ID],"")</f>
        <v/>
      </c>
      <c r="H7" s="2"/>
    </row>
    <row r="8" spans="1:10" x14ac:dyDescent="0.35">
      <c r="B8" s="2"/>
      <c r="C8" t="str">
        <f>_xlfn.XLOOKUP(Tabela13[[#This Row],[INSTRUTOR]],tblInstrutores[NOME_COMPLETO],tblInstrutores[ID],"")</f>
        <v/>
      </c>
    </row>
    <row r="9" spans="1:10" x14ac:dyDescent="0.35">
      <c r="B9" s="2"/>
      <c r="C9" t="str">
        <f>_xlfn.XLOOKUP(Tabela13[[#This Row],[INSTRUTOR]],tblInstrutores[NOME_COMPLETO],tblInstrutores[ID],"")</f>
        <v/>
      </c>
      <c r="H9" s="2"/>
    </row>
    <row r="10" spans="1:10" x14ac:dyDescent="0.35">
      <c r="B10" s="2"/>
      <c r="C10" t="str">
        <f>_xlfn.XLOOKUP(Tabela13[[#This Row],[INSTRUTOR]],tblInstrutores[NOME_COMPLETO],tblInstrutores[ID],"")</f>
        <v/>
      </c>
      <c r="H10" s="2"/>
    </row>
    <row r="11" spans="1:10" x14ac:dyDescent="0.35">
      <c r="B11" s="2"/>
      <c r="C11" t="str">
        <f>_xlfn.XLOOKUP(Tabela13[[#This Row],[INSTRUTOR]],tblInstrutores[NOME_COMPLETO],tblInstrutores[ID],"")</f>
        <v/>
      </c>
    </row>
  </sheetData>
  <dataValidations count="2">
    <dataValidation type="list" allowBlank="1" showInputMessage="1" showErrorMessage="1" sqref="F2:F11" xr:uid="{CF35F805-B95C-47D9-9994-80D1F9B125B5}">
      <formula1>"Saúde, Pessoal, Outros"</formula1>
    </dataValidation>
    <dataValidation type="list" allowBlank="1" showInputMessage="1" showErrorMessage="1" sqref="I2:I11" xr:uid="{34C0E9BB-A5A5-4DEB-A710-146CA8C9E46F}">
      <formula1>"PENDENTE, RESPOSTA, CANCELADA"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F990DA-BCD8-4626-9DCD-01F6DD4300D6}">
          <x14:formula1>
            <xm:f>INSTRUTORES!$A$2:$A$14</xm:f>
          </x14:formula1>
          <xm:sqref>G2:G11</xm:sqref>
        </x14:dataValidation>
        <x14:dataValidation type="list" allowBlank="1" showInputMessage="1" showErrorMessage="1" xr:uid="{E08B1D67-B5D4-4029-89A4-74118992E57B}">
          <x14:formula1>
            <xm:f>INSTRUTORES!$B$2:$B$14</xm:f>
          </x14:formula1>
          <xm:sqref>D2:D11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CEDE-0B35-481C-9C61-8FE3DCD1B21E}">
  <sheetPr codeName="Planilha12">
    <tabColor rgb="FFFF0000"/>
  </sheetPr>
  <dimension ref="A1:B17"/>
  <sheetViews>
    <sheetView workbookViewId="0">
      <selection activeCell="B15" sqref="B15"/>
    </sheetView>
  </sheetViews>
  <sheetFormatPr defaultRowHeight="14.5" x14ac:dyDescent="0.35"/>
  <cols>
    <col min="1" max="1" width="29" bestFit="1" customWidth="1"/>
    <col min="2" max="2" width="10.54296875" bestFit="1" customWidth="1"/>
  </cols>
  <sheetData>
    <row r="1" spans="1:2" x14ac:dyDescent="0.35">
      <c r="A1" t="s">
        <v>157</v>
      </c>
    </row>
    <row r="3" spans="1:2" x14ac:dyDescent="0.35">
      <c r="A3" t="s">
        <v>158</v>
      </c>
      <c r="B3" s="2">
        <f ca="1">TODAY()</f>
        <v>46113</v>
      </c>
    </row>
    <row r="5" spans="1:2" x14ac:dyDescent="0.35">
      <c r="A5" s="3" t="s">
        <v>159</v>
      </c>
      <c r="B5" s="3" t="s">
        <v>160</v>
      </c>
    </row>
    <row r="6" spans="1:2" x14ac:dyDescent="0.35">
      <c r="A6" t="s">
        <v>161</v>
      </c>
      <c r="B6">
        <f>COUNTA(tblInstrutores[ID])</f>
        <v>13</v>
      </c>
    </row>
    <row r="7" spans="1:2" x14ac:dyDescent="0.35">
      <c r="A7" t="s">
        <v>162</v>
      </c>
      <c r="B7">
        <f>COUNTA(tbl)</f>
        <v>1</v>
      </c>
    </row>
    <row r="8" spans="1:2" x14ac:dyDescent="0.35">
      <c r="A8" t="s">
        <v>163</v>
      </c>
      <c r="B8">
        <f>COUNTIFS(tblAmbientes[VIRTUAL],"NÃO")</f>
        <v>13</v>
      </c>
    </row>
    <row r="9" spans="1:2" x14ac:dyDescent="0.35">
      <c r="A9" t="s">
        <v>164</v>
      </c>
      <c r="B9">
        <f ca="1">COUNTIFS(tblAlocacao[DATA], TODAY())</f>
        <v>0</v>
      </c>
    </row>
    <row r="10" spans="1:2" x14ac:dyDescent="0.35">
      <c r="A10" t="s">
        <v>165</v>
      </c>
      <c r="B10" t="e" cm="1">
        <f t="array" ref="B10">AVERAGE(tblOcupacao[PERCENTUAL_OCUPACAO],ROWS(tblOcupacao[PERCENTUAL_OCUPACAO]-1))</f>
        <v>#DIV/0!</v>
      </c>
    </row>
    <row r="11" spans="1:2" x14ac:dyDescent="0.35">
      <c r="A11" t="s">
        <v>166</v>
      </c>
      <c r="B11">
        <f>SUM(tblNaoRegencia[HORAS_NAO_REGENCIA])</f>
        <v>80</v>
      </c>
    </row>
    <row r="12" spans="1:2" x14ac:dyDescent="0.35">
      <c r="A12" t="s">
        <v>167</v>
      </c>
      <c r="B12" t="e">
        <f>SUM(tblNaoRegencia[HORAS_NAO_REGENCIA])/(SUM(tblAlocacao[HORAS_AULA])+SUM(tblNaoRegencia[HORAS_NAO_REGENCIA]))</f>
        <v>#VALUE!</v>
      </c>
    </row>
    <row r="14" spans="1:2" x14ac:dyDescent="0.35">
      <c r="A14" s="3" t="s">
        <v>168</v>
      </c>
      <c r="B14" s="3" t="s">
        <v>169</v>
      </c>
    </row>
    <row r="15" spans="1:2" x14ac:dyDescent="0.35">
      <c r="A15" t="s">
        <v>170</v>
      </c>
      <c r="B15" s="4">
        <f>AVERAGEIFS(tblOcupacao[PERCENTUAL_OCUPACAO], tblOcupacao[ID_TURNO], 1)</f>
        <v>0.77976190476190477</v>
      </c>
    </row>
    <row r="16" spans="1:2" x14ac:dyDescent="0.35">
      <c r="A16" t="s">
        <v>171</v>
      </c>
      <c r="B16" s="4" t="e">
        <f>AVERAGEIFS(tblOcupacao[PERCENTUAL_OCUPACAO], tblOcupacao[ID_TURNO], 2)</f>
        <v>#DIV/0!</v>
      </c>
    </row>
    <row r="17" spans="1:2" x14ac:dyDescent="0.35">
      <c r="A17" t="s">
        <v>172</v>
      </c>
      <c r="B17" s="4" t="e">
        <f>AVERAGEIFS(tblOcupacao[PERCENTUAL_OCUPACAO], tblOcupacao[ID_TURNO], 3)</f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6EE0-B0D0-486F-937F-A91A35BAAFBF}">
  <sheetPr codeName="Planilha13"/>
  <dimension ref="A10:C21"/>
  <sheetViews>
    <sheetView topLeftCell="A10" workbookViewId="0">
      <selection activeCell="A23" sqref="A23"/>
    </sheetView>
  </sheetViews>
  <sheetFormatPr defaultRowHeight="14.5" x14ac:dyDescent="0.35"/>
  <cols>
    <col min="1" max="1" width="23.81640625" bestFit="1" customWidth="1"/>
    <col min="3" max="3" width="27.453125" bestFit="1" customWidth="1"/>
  </cols>
  <sheetData>
    <row r="10" spans="1:3" x14ac:dyDescent="0.35">
      <c r="A10" t="s">
        <v>173</v>
      </c>
      <c r="B10" t="s">
        <v>174</v>
      </c>
      <c r="C10" t="s">
        <v>0</v>
      </c>
    </row>
    <row r="11" spans="1:3" ht="15" x14ac:dyDescent="0.4">
      <c r="A11" t="s">
        <v>175</v>
      </c>
      <c r="B11" s="5">
        <v>0.7</v>
      </c>
      <c r="C11" s="6" t="s">
        <v>176</v>
      </c>
    </row>
    <row r="12" spans="1:3" ht="15" x14ac:dyDescent="0.4">
      <c r="A12" t="s">
        <v>177</v>
      </c>
      <c r="B12" s="5">
        <v>0.85</v>
      </c>
      <c r="C12" s="6" t="s">
        <v>178</v>
      </c>
    </row>
    <row r="13" spans="1:3" x14ac:dyDescent="0.35">
      <c r="A13" t="s">
        <v>179</v>
      </c>
      <c r="B13" s="5">
        <v>0.3</v>
      </c>
      <c r="C13" s="7" t="s">
        <v>180</v>
      </c>
    </row>
    <row r="14" spans="1:3" x14ac:dyDescent="0.35">
      <c r="A14" t="s">
        <v>181</v>
      </c>
      <c r="B14">
        <v>44</v>
      </c>
      <c r="C14" s="7" t="s">
        <v>182</v>
      </c>
    </row>
    <row r="15" spans="1:3" x14ac:dyDescent="0.35">
      <c r="A15" t="s">
        <v>183</v>
      </c>
      <c r="B15">
        <v>7</v>
      </c>
      <c r="C15" s="7" t="s">
        <v>184</v>
      </c>
    </row>
    <row r="16" spans="1:3" x14ac:dyDescent="0.35">
      <c r="A16" t="s">
        <v>185</v>
      </c>
      <c r="B16" s="1">
        <v>0.33333333333333331</v>
      </c>
      <c r="C16" s="7"/>
    </row>
    <row r="17" spans="1:3" x14ac:dyDescent="0.35">
      <c r="A17" t="s">
        <v>186</v>
      </c>
      <c r="B17" s="1">
        <v>0.5</v>
      </c>
      <c r="C17" s="7"/>
    </row>
    <row r="18" spans="1:3" x14ac:dyDescent="0.35">
      <c r="A18" t="s">
        <v>187</v>
      </c>
      <c r="B18" s="1">
        <v>0.54166666666666663</v>
      </c>
      <c r="C18" s="7"/>
    </row>
    <row r="19" spans="1:3" x14ac:dyDescent="0.35">
      <c r="A19" t="s">
        <v>188</v>
      </c>
      <c r="B19" s="1">
        <v>0.70833333333333337</v>
      </c>
      <c r="C19" s="7"/>
    </row>
    <row r="20" spans="1:3" x14ac:dyDescent="0.35">
      <c r="A20" t="s">
        <v>189</v>
      </c>
      <c r="B20" s="1">
        <v>0.75</v>
      </c>
      <c r="C20" s="7"/>
    </row>
    <row r="21" spans="1:3" x14ac:dyDescent="0.35">
      <c r="A21" t="s">
        <v>190</v>
      </c>
      <c r="B21" s="1">
        <v>0.91666666666666663</v>
      </c>
      <c r="C21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13D4-1D1D-4B3F-B2D4-3A8C9CA7F172}">
  <sheetPr codeName="Planilha14"/>
  <dimension ref="A1"/>
  <sheetViews>
    <sheetView workbookViewId="0">
      <selection activeCell="F18" sqref="F18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B002-EBA1-458A-94DE-83CEFA11A8F3}">
  <sheetPr codeName="Planilha15"/>
  <dimension ref="A1:B19"/>
  <sheetViews>
    <sheetView workbookViewId="0">
      <selection sqref="A1:B19"/>
    </sheetView>
  </sheetViews>
  <sheetFormatPr defaultRowHeight="14.5" x14ac:dyDescent="0.35"/>
  <cols>
    <col min="1" max="1" width="70.1796875" bestFit="1" customWidth="1"/>
    <col min="2" max="2" width="51.26953125" bestFit="1" customWidth="1"/>
  </cols>
  <sheetData>
    <row r="1" spans="1:2" x14ac:dyDescent="0.35">
      <c r="A1" t="s">
        <v>193</v>
      </c>
      <c r="B1" t="s">
        <v>202</v>
      </c>
    </row>
    <row r="2" spans="1:2" x14ac:dyDescent="0.35">
      <c r="A2" s="36" t="s">
        <v>196</v>
      </c>
      <c r="B2" s="36" t="s">
        <v>218</v>
      </c>
    </row>
    <row r="3" spans="1:2" x14ac:dyDescent="0.35">
      <c r="A3" s="37" t="s">
        <v>207</v>
      </c>
      <c r="B3" s="37" t="s">
        <v>219</v>
      </c>
    </row>
    <row r="4" spans="1:2" x14ac:dyDescent="0.35">
      <c r="A4" s="36" t="s">
        <v>208</v>
      </c>
      <c r="B4" s="36" t="s">
        <v>220</v>
      </c>
    </row>
    <row r="5" spans="1:2" x14ac:dyDescent="0.35">
      <c r="A5" s="37" t="s">
        <v>209</v>
      </c>
      <c r="B5" s="37" t="s">
        <v>221</v>
      </c>
    </row>
    <row r="6" spans="1:2" x14ac:dyDescent="0.35">
      <c r="A6" s="36" t="s">
        <v>210</v>
      </c>
      <c r="B6" s="36" t="s">
        <v>222</v>
      </c>
    </row>
    <row r="7" spans="1:2" x14ac:dyDescent="0.35">
      <c r="A7" s="37" t="s">
        <v>211</v>
      </c>
      <c r="B7" s="37" t="s">
        <v>223</v>
      </c>
    </row>
    <row r="8" spans="1:2" x14ac:dyDescent="0.35">
      <c r="A8" s="36" t="s">
        <v>212</v>
      </c>
      <c r="B8" s="36" t="s">
        <v>224</v>
      </c>
    </row>
    <row r="9" spans="1:2" x14ac:dyDescent="0.35">
      <c r="A9" s="37" t="s">
        <v>213</v>
      </c>
      <c r="B9" s="37" t="s">
        <v>225</v>
      </c>
    </row>
    <row r="10" spans="1:2" x14ac:dyDescent="0.35">
      <c r="A10" s="36" t="s">
        <v>214</v>
      </c>
      <c r="B10" s="36" t="s">
        <v>207</v>
      </c>
    </row>
    <row r="11" spans="1:2" x14ac:dyDescent="0.35">
      <c r="A11" s="37" t="s">
        <v>215</v>
      </c>
      <c r="B11" s="37" t="s">
        <v>226</v>
      </c>
    </row>
    <row r="12" spans="1:2" x14ac:dyDescent="0.35">
      <c r="B12" s="36" t="s">
        <v>227</v>
      </c>
    </row>
    <row r="13" spans="1:2" x14ac:dyDescent="0.35">
      <c r="B13" s="37" t="s">
        <v>228</v>
      </c>
    </row>
    <row r="14" spans="1:2" x14ac:dyDescent="0.35">
      <c r="B14" s="36" t="s">
        <v>229</v>
      </c>
    </row>
    <row r="15" spans="1:2" x14ac:dyDescent="0.35">
      <c r="B15" s="37" t="s">
        <v>230</v>
      </c>
    </row>
    <row r="16" spans="1:2" x14ac:dyDescent="0.35">
      <c r="B16" s="36" t="s">
        <v>231</v>
      </c>
    </row>
    <row r="17" spans="2:2" x14ac:dyDescent="0.35">
      <c r="B17" s="37" t="s">
        <v>232</v>
      </c>
    </row>
    <row r="18" spans="2:2" x14ac:dyDescent="0.35">
      <c r="B18" s="36" t="s">
        <v>233</v>
      </c>
    </row>
    <row r="19" spans="2:2" x14ac:dyDescent="0.35">
      <c r="B19" s="37" t="s">
        <v>234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2AE8DDD420C04FB898D103CA4EB3CA" ma:contentTypeVersion="12" ma:contentTypeDescription="Crie um novo documento." ma:contentTypeScope="" ma:versionID="04db2ce75f02f3ad64b7aca797dc392c">
  <xsd:schema xmlns:xsd="http://www.w3.org/2001/XMLSchema" xmlns:xs="http://www.w3.org/2001/XMLSchema" xmlns:p="http://schemas.microsoft.com/office/2006/metadata/properties" xmlns:ns2="9263e2f0-28c9-4773-a4ed-849e05f98a98" xmlns:ns3="97003019-d0ea-4b44-a32d-a1d0fc52ffd7" targetNamespace="http://schemas.microsoft.com/office/2006/metadata/properties" ma:root="true" ma:fieldsID="d9d4755cbcf05ae3986f3477a510a636" ns2:_="" ns3:_="">
    <xsd:import namespace="9263e2f0-28c9-4773-a4ed-849e05f98a98"/>
    <xsd:import namespace="97003019-d0ea-4b44-a32d-a1d0fc52f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3e2f0-28c9-4773-a4ed-849e05f98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2970e29-ff6a-4bc8-b0ca-68e6388e55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03019-d0ea-4b44-a32d-a1d0fc52ff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6cf16f-223d-4f90-8deb-b9e69e3ca0c1}" ma:internalName="TaxCatchAll" ma:showField="CatchAllData" ma:web="97003019-d0ea-4b44-a32d-a1d0fc52f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003019-d0ea-4b44-a32d-a1d0fc52ffd7" xsi:nil="true"/>
    <lcf76f155ced4ddcb4097134ff3c332f xmlns="9263e2f0-28c9-4773-a4ed-849e05f98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57AB0-1243-4680-951E-A665D3F67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3e2f0-28c9-4773-a4ed-849e05f98a98"/>
    <ds:schemaRef ds:uri="97003019-d0ea-4b44-a32d-a1d0fc52f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19C03E-5A89-47CF-BA2C-50B5836FBD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2229DF-FCAD-420A-8F03-88F31FF2AFD8}">
  <ds:schemaRefs>
    <ds:schemaRef ds:uri="http://www.w3.org/XML/1998/namespace"/>
    <ds:schemaRef ds:uri="97003019-d0ea-4b44-a32d-a1d0fc52ffd7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9263e2f0-28c9-4773-a4ed-849e05f98a9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TURNOS</vt:lpstr>
      <vt:lpstr>MODALIDADES</vt:lpstr>
      <vt:lpstr>CALENDÁRIO</vt:lpstr>
      <vt:lpstr>INSTRUTORES</vt:lpstr>
      <vt:lpstr>AMBIENTES</vt:lpstr>
      <vt:lpstr>DISCIPLINAS</vt:lpstr>
      <vt:lpstr>TURMAS</vt:lpstr>
      <vt:lpstr>ALOCAÇÃO_DIÁRIA</vt:lpstr>
      <vt:lpstr>OCUPAÇÃO</vt:lpstr>
      <vt:lpstr>NÃO_REGÊNCIA</vt:lpstr>
      <vt:lpstr>FALTAS</vt:lpstr>
      <vt:lpstr>RESUMO</vt:lpstr>
      <vt:lpstr>PARÂMETROS</vt:lpstr>
      <vt:lpstr>MANUAL</vt:lpstr>
      <vt:lpstr>APOIO_DISCIPLINA</vt:lpstr>
      <vt:lpstr>APR01302026U006</vt:lpstr>
      <vt:lpstr>QUA04382026U003</vt:lpstr>
    </vt:vector>
  </TitlesOfParts>
  <Manager/>
  <Company>FIRJAN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Farias de Melo</dc:creator>
  <cp:keywords/>
  <dc:description/>
  <cp:lastModifiedBy>Jonathan Farias de Melo</cp:lastModifiedBy>
  <cp:revision/>
  <dcterms:created xsi:type="dcterms:W3CDTF">2026-01-27T17:17:21Z</dcterms:created>
  <dcterms:modified xsi:type="dcterms:W3CDTF">2026-04-01T11:24:24Z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0x010100152AE8DDD420C04FB898D103CA4EB3CA</vt:lpwstr>
  </property>
  <property fmtid="{D5CDD505-2E9C-101B-9397-08002B2CF9AE}" pid="3" name="MediaServiceImageTags">
    <vt:lpwstr/>
  </property>
  <property fmtid="{D5CDD505-2E9C-101B-9397-08002B2CF9AE}" pid="4" name="MSIP_Label_5c88f678-0b6e-4995-8ab3-bcc8062be905_Enabled">
    <vt:lpwstr>true</vt:lpwstr>
  </property>
  <property fmtid="{D5CDD505-2E9C-101B-9397-08002B2CF9AE}" pid="5" name="MSIP_Label_5c88f678-0b6e-4995-8ab3-bcc8062be905_SetDate">
    <vt:lpwstr>2026-02-25T11:28:18Z</vt:lpwstr>
  </property>
  <property fmtid="{D5CDD505-2E9C-101B-9397-08002B2CF9AE}" pid="6" name="MSIP_Label_5c88f678-0b6e-4995-8ab3-bcc8062be905_Method">
    <vt:lpwstr>Standard</vt:lpwstr>
  </property>
  <property fmtid="{D5CDD505-2E9C-101B-9397-08002B2CF9AE}" pid="7" name="MSIP_Label_5c88f678-0b6e-4995-8ab3-bcc8062be905_Name">
    <vt:lpwstr>Ostensivo</vt:lpwstr>
  </property>
  <property fmtid="{D5CDD505-2E9C-101B-9397-08002B2CF9AE}" pid="8" name="MSIP_Label_5c88f678-0b6e-4995-8ab3-bcc8062be905_SiteId">
    <vt:lpwstr>d0c698d4-e4ea-4ee9-a79d-f2d7a78399c8</vt:lpwstr>
  </property>
  <property fmtid="{D5CDD505-2E9C-101B-9397-08002B2CF9AE}" pid="9" name="MSIP_Label_5c88f678-0b6e-4995-8ab3-bcc8062be905_ActionId">
    <vt:lpwstr>9d79283d-91ca-4533-9379-a69319dbfa81</vt:lpwstr>
  </property>
  <property fmtid="{D5CDD505-2E9C-101B-9397-08002B2CF9AE}" pid="10" name="MSIP_Label_5c88f678-0b6e-4995-8ab3-bcc8062be905_ContentBits">
    <vt:lpwstr>0</vt:lpwstr>
  </property>
  <property fmtid="{D5CDD505-2E9C-101B-9397-08002B2CF9AE}" pid="11" name="MSIP_Label_5c88f678-0b6e-4995-8ab3-bcc8062be905_Tag">
    <vt:lpwstr>10, 3, 0, 1</vt:lpwstr>
  </property>
</Properties>
</file>